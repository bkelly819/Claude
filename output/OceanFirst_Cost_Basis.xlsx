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Basis Analysis" sheetId="1" state="visible" r:id="rId3"/>
  </sheets>
  <definedNames>
    <definedName function="false" hidden="true" localSheetId="0" name="_xlnm._FilterDatabase" vbProcedure="false">'Cost Basis Analysis'!$A$4:$M$15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Merger terms (provided).</t>
        </r>
      </text>
    </comment>
    <comment ref="B21" authorId="0">
      <text>
        <r>
          <rPr>
            <sz val="10"/>
            <rFont val="Arial"/>
            <family val="2"/>
          </rPr>
          <t xml:space="preserve">Merger exchange ratio (provided).</t>
        </r>
      </text>
    </comment>
    <comment ref="B22" authorId="0">
      <text>
        <r>
          <rPr>
            <sz val="10"/>
            <rFont val="Arial"/>
            <family val="2"/>
          </rPr>
          <t xml:space="preserve">Provided; FMV of OCFC stock received.</t>
        </r>
      </text>
    </comment>
    <comment ref="B23" authorId="0">
      <text>
        <r>
          <rPr>
            <sz val="10"/>
            <rFont val="Arial"/>
            <family val="2"/>
          </rPr>
          <t xml:space="preserve">OceanFirst completed the Two River acquisition effective 1/1/2020.</t>
        </r>
      </text>
    </comment>
    <comment ref="B24" authorId="0">
      <text>
        <r>
          <rPr>
            <sz val="10"/>
            <rFont val="Arial"/>
            <family val="2"/>
          </rPr>
          <t xml:space="preserve">Client's current OCFC position (provided).</t>
        </r>
      </text>
    </comment>
    <comment ref="B25" authorId="0">
      <text>
        <r>
          <rPr>
            <sz val="10"/>
            <rFont val="Arial"/>
            <family val="2"/>
          </rPr>
          <t xml:space="preserve">Equal Dollars = same $ invested each purchase; Equal Shares = same # of shares each purchase.</t>
        </r>
      </text>
    </comment>
    <comment ref="B26" authorId="0">
      <text>
        <r>
          <rPr>
            <sz val="10"/>
            <rFont val="Arial"/>
            <family val="2"/>
          </rPr>
          <t xml:space="preserve">Smallest whole # of TR shares producing the OCFC shares held; remainder paid as cash in lieu.</t>
        </r>
      </text>
    </comment>
    <comment ref="B27" authorId="0">
      <text>
        <r>
          <rPr>
            <sz val="10"/>
            <rFont val="Arial"/>
            <family val="2"/>
          </rPr>
          <t xml:space="preserve">Solved so total TR shares bought = implied TR shares exchanged. (Equal Shares shows the average $ per purchase.)</t>
        </r>
      </text>
    </comment>
  </commentList>
</comments>
</file>

<file path=xl/sharedStrings.xml><?xml version="1.0" encoding="utf-8"?>
<sst xmlns="http://schemas.openxmlformats.org/spreadsheetml/2006/main" count="48" uniqueCount="48">
  <si>
    <t xml:space="preserve">Two River Stock Purchase &amp; OceanFirst Merger Cost Basis Analysis</t>
  </si>
  <si>
    <t xml:space="preserve">Estimated original cost basis, merger consideration, and adjusted cost basis of OceanFirst (OCFC) shares received</t>
  </si>
  <si>
    <t xml:space="preserve">Purchase Date</t>
  </si>
  <si>
    <t xml:space="preserve">Two River Share Price</t>
  </si>
  <si>
    <t xml:space="preserve">Investment Amount</t>
  </si>
  <si>
    <t xml:space="preserve">Two River Shares Purchased</t>
  </si>
  <si>
    <t xml:space="preserve">Cash Consideration / TR Share</t>
  </si>
  <si>
    <t xml:space="preserve">OCFC Shares / TR Share</t>
  </si>
  <si>
    <t xml:space="preserve">OceanFirst Shares Received</t>
  </si>
  <si>
    <t xml:space="preserve">Cash Received</t>
  </si>
  <si>
    <t xml:space="preserve">Value of OCFC Shares Received</t>
  </si>
  <si>
    <t xml:space="preserve">Gain / (Loss) Realized</t>
  </si>
  <si>
    <t xml:space="preserve">Gain Recognized (lesser of gain or cash)</t>
  </si>
  <si>
    <t xml:space="preserve">Adjusted OCFC Cost Basis</t>
  </si>
  <si>
    <t xml:space="preserve">OCFC Basis per Share</t>
  </si>
  <si>
    <t xml:space="preserve">TOTAL</t>
  </si>
  <si>
    <t xml:space="preserve">Holding period: OCFC shares carry over each Two River purchase date. Lots bought 7/31/2019 and 12/31/2019 were short-term at the 1/1/2020 merger; all others long-term.</t>
  </si>
  <si>
    <t xml:space="preserve">Merger &amp; Valuation Assumptions</t>
  </si>
  <si>
    <t xml:space="preserve">Cash consideration per Two River share</t>
  </si>
  <si>
    <t xml:space="preserve">OceanFirst shares per Two River share</t>
  </si>
  <si>
    <t xml:space="preserve">OCFC closing price (12/31/2019)</t>
  </si>
  <si>
    <t xml:space="preserve">Merger completion date</t>
  </si>
  <si>
    <t xml:space="preserve">OCFC shares currently held by client</t>
  </si>
  <si>
    <t xml:space="preserve">Purchase allocation method</t>
  </si>
  <si>
    <t xml:space="preserve">Equal Dollars</t>
  </si>
  <si>
    <t xml:space="preserve">Two River shares exchanged (implied)</t>
  </si>
  <si>
    <t xml:space="preserve">Investment amount per purchase</t>
  </si>
  <si>
    <t xml:space="preserve">Merger Transfer Summary</t>
  </si>
  <si>
    <t xml:space="preserve">Total original estimated cost basis</t>
  </si>
  <si>
    <t xml:space="preserve">Total Two River shares before merger</t>
  </si>
  <si>
    <t xml:space="preserve">Cash received at merger</t>
  </si>
  <si>
    <t xml:space="preserve">OceanFirst shares received (incl. fractional)</t>
  </si>
  <si>
    <t xml:space="preserve">OCFC value at 12/31/2019 closing price</t>
  </si>
  <si>
    <t xml:space="preserve">Total merger value (cash + OCFC value)</t>
  </si>
  <si>
    <t xml:space="preserve">Estimated gain vs. original cost basis</t>
  </si>
  <si>
    <t xml:space="preserve">Estimated gain % vs. original cost basis</t>
  </si>
  <si>
    <t xml:space="preserve">Gain recognized at merger (taxable cash boot)</t>
  </si>
  <si>
    <t xml:space="preserve">Fractional OCFC share paid as cash in lieu</t>
  </si>
  <si>
    <t xml:space="preserve">Cost basis allocated to fractional share</t>
  </si>
  <si>
    <t xml:space="preserve">OCFC whole shares held</t>
  </si>
  <si>
    <t xml:space="preserve">OCFC cost basis – whole shares held</t>
  </si>
  <si>
    <t xml:space="preserve">OCFC cost basis per share</t>
  </si>
  <si>
    <t xml:space="preserve">Methodology &amp; Notes</t>
  </si>
  <si>
    <t xml:space="preserve">• 1,733 OCFC ÷ 0.6663 = 2,600.93 → 2,601 Two River shares exchanged; 2,601 × 0.6663 = 1,733.0463 OCFC, with the 0.0463 fractional share paid in cash.</t>
  </si>
  <si>
    <t xml:space="preserve">• Purchases: 11 equal-dollar buys (every July &amp; December, 12/31/2014–12/31/2019); dollar amount solved so total TR shares = 2,601. Switch B25 to 'Equal Shares' to compare.</t>
  </si>
  <si>
    <t xml:space="preserve">• Merger treated as a tax-free reorganization with boot (IRC §354/356): per lot, gain recognized = lesser of gain realized or cash received; losses not recognized.</t>
  </si>
  <si>
    <t xml:space="preserve">• Adjusted OCFC basis per lot = original cost – cash received + gain recognized (IRC §358). Fractional-share basis removed at the average per-share basis.</t>
  </si>
  <si>
    <t xml:space="preserve">• Estimate for planning — confirm against the client's 1099-B / broker records and OceanFirst's Form 8937. Blue text &amp; tan cells = inputs; green cells = calculated.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</si>
</sst>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dd/yyyy"/>
    <numFmt numFmtId="166" formatCode="\$#,##0.00;&quot;($&quot;#,##0.00\);\-"/>
    <numFmt numFmtId="167" formatCode="#,##0.00"/>
    <numFmt numFmtId="168" formatCode="\$#,##0.000"/>
    <numFmt numFmtId="169" formatCode="0.0000"/>
    <numFmt numFmtId="170" formatCode="#,##0.0000"/>
    <numFmt numFmtId="171" formatCode="@"/>
    <numFmt numFmtId="172" formatCode="#,##0"/>
    <numFmt numFmtId="173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7FC"/>
        <bgColor rgb="FFF2F2F2"/>
      </patternFill>
    </fill>
    <fill>
      <patternFill patternType="solid">
        <fgColor rgb="FFDDEBF7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7F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7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E2EFDA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5"/>
    <col collapsed="false" customWidth="true" hidden="false" outlineLevel="0" max="4" min="3" style="0" width="16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5"/>
    <col collapsed="false" customWidth="true" hidden="false" outlineLevel="0" max="12" min="11" style="0" width="17"/>
    <col collapsed="false" customWidth="true" hidden="false" outlineLevel="0" max="13" min="13" style="0" width="14"/>
  </cols>
  <sheetData>
    <row r="1" customFormat="false" ht="31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1</v>
      </c>
    </row>
    <row r="4" customFormat="false" ht="48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</row>
    <row r="5" customFormat="false" ht="15" hidden="false" customHeight="false" outlineLevel="0" collapsed="false">
      <c r="A5" s="5" t="n">
        <v>42004</v>
      </c>
      <c r="B5" s="6" t="n">
        <v>7.65</v>
      </c>
      <c r="C5" s="7" t="n">
        <f aca="false">IF($B$25="Equal Shares",D5*B5,$B$27)</f>
        <v>2953.88895908949</v>
      </c>
      <c r="D5" s="8" t="n">
        <f aca="false">IF($B$25="Equal Shares",$B$26/COUNT($B$5:$B$15),C5/B5)</f>
        <v>386.129275697972</v>
      </c>
      <c r="E5" s="9" t="n">
        <f aca="false">$B$20</f>
        <v>5.375</v>
      </c>
      <c r="F5" s="10" t="n">
        <f aca="false">$B$21</f>
        <v>0.6663</v>
      </c>
      <c r="G5" s="11" t="n">
        <f aca="false">D5*F5</f>
        <v>257.277936397559</v>
      </c>
      <c r="H5" s="7" t="n">
        <f aca="false">D5*E5</f>
        <v>2075.4448568766</v>
      </c>
      <c r="I5" s="7" t="n">
        <f aca="false">G5*$B$22</f>
        <v>6570.87849559366</v>
      </c>
      <c r="J5" s="7" t="n">
        <f aca="false">H5+I5-C5</f>
        <v>5692.43439338077</v>
      </c>
      <c r="K5" s="7" t="n">
        <f aca="false">MIN(H5,MAX(J5,0))</f>
        <v>2075.4448568766</v>
      </c>
      <c r="L5" s="7" t="n">
        <f aca="false">C5-H5+K5</f>
        <v>2953.88895908949</v>
      </c>
      <c r="M5" s="7" t="n">
        <f aca="false">IF(G5=0,0,L5/G5)</f>
        <v>11.4813147230977</v>
      </c>
    </row>
    <row r="6" customFormat="false" ht="15" hidden="false" customHeight="false" outlineLevel="0" collapsed="false">
      <c r="A6" s="12" t="n">
        <v>42216</v>
      </c>
      <c r="B6" s="13" t="n">
        <v>8.18</v>
      </c>
      <c r="C6" s="14" t="n">
        <f aca="false">IF($B$25="Equal Shares",D6*B6,$B$27)</f>
        <v>2953.88895908949</v>
      </c>
      <c r="D6" s="15" t="n">
        <f aca="false">IF($B$25="Equal Shares",$B$26/COUNT($B$5:$B$15),C6/B6)</f>
        <v>361.111119693092</v>
      </c>
      <c r="E6" s="16" t="n">
        <f aca="false">$B$20</f>
        <v>5.375</v>
      </c>
      <c r="F6" s="17" t="n">
        <f aca="false">$B$21</f>
        <v>0.6663</v>
      </c>
      <c r="G6" s="18" t="n">
        <f aca="false">D6*F6</f>
        <v>240.608339051507</v>
      </c>
      <c r="H6" s="14" t="n">
        <f aca="false">D6*E6</f>
        <v>1940.97226835037</v>
      </c>
      <c r="I6" s="14" t="n">
        <f aca="false">G6*$B$22</f>
        <v>6145.13697937549</v>
      </c>
      <c r="J6" s="14" t="n">
        <f aca="false">H6+I6-C6</f>
        <v>5132.22028863637</v>
      </c>
      <c r="K6" s="14" t="n">
        <f aca="false">MIN(H6,MAX(J6,0))</f>
        <v>1940.97226835037</v>
      </c>
      <c r="L6" s="14" t="n">
        <f aca="false">C6-H6+K6</f>
        <v>2953.88895908949</v>
      </c>
      <c r="M6" s="14" t="n">
        <f aca="false">IF(G6=0,0,L6/G6)</f>
        <v>12.2767522137175</v>
      </c>
    </row>
    <row r="7" customFormat="false" ht="15" hidden="false" customHeight="false" outlineLevel="0" collapsed="false">
      <c r="A7" s="5" t="n">
        <v>42369</v>
      </c>
      <c r="B7" s="6" t="n">
        <v>9.02</v>
      </c>
      <c r="C7" s="7" t="n">
        <f aca="false">IF($B$25="Equal Shares",D7*B7,$B$27)</f>
        <v>2953.88895908949</v>
      </c>
      <c r="D7" s="8" t="n">
        <f aca="false">IF($B$25="Equal Shares",$B$26/COUNT($B$5:$B$15),C7/B7)</f>
        <v>327.48214624052</v>
      </c>
      <c r="E7" s="9" t="n">
        <f aca="false">$B$20</f>
        <v>5.375</v>
      </c>
      <c r="F7" s="10" t="n">
        <f aca="false">$B$21</f>
        <v>0.6663</v>
      </c>
      <c r="G7" s="11" t="n">
        <f aca="false">D7*F7</f>
        <v>218.201354040058</v>
      </c>
      <c r="H7" s="7" t="n">
        <f aca="false">D7*E7</f>
        <v>1760.21653604279</v>
      </c>
      <c r="I7" s="7" t="n">
        <f aca="false">G7*$B$22</f>
        <v>5572.86258218309</v>
      </c>
      <c r="J7" s="7" t="n">
        <f aca="false">H7+I7-C7</f>
        <v>4379.1901591364</v>
      </c>
      <c r="K7" s="7" t="n">
        <f aca="false">MIN(H7,MAX(J7,0))</f>
        <v>1760.21653604279</v>
      </c>
      <c r="L7" s="7" t="n">
        <f aca="false">C7-H7+K7</f>
        <v>2953.88895908949</v>
      </c>
      <c r="M7" s="7" t="n">
        <f aca="false">IF(G7=0,0,L7/G7)</f>
        <v>13.5374455950773</v>
      </c>
    </row>
    <row r="8" customFormat="false" ht="15" hidden="false" customHeight="false" outlineLevel="0" collapsed="false">
      <c r="A8" s="12" t="n">
        <v>42582</v>
      </c>
      <c r="B8" s="13" t="n">
        <v>10.14</v>
      </c>
      <c r="C8" s="14" t="n">
        <f aca="false">IF($B$25="Equal Shares",D8*B8,$B$27)</f>
        <v>2953.88895908949</v>
      </c>
      <c r="D8" s="15" t="n">
        <f aca="false">IF($B$25="Equal Shares",$B$26/COUNT($B$5:$B$15),C8/B8)</f>
        <v>291.310548233677</v>
      </c>
      <c r="E8" s="16" t="n">
        <f aca="false">$B$20</f>
        <v>5.375</v>
      </c>
      <c r="F8" s="17" t="n">
        <f aca="false">$B$21</f>
        <v>0.6663</v>
      </c>
      <c r="G8" s="18" t="n">
        <f aca="false">D8*F8</f>
        <v>194.100218288099</v>
      </c>
      <c r="H8" s="14" t="n">
        <f aca="false">D8*E8</f>
        <v>1565.79419675602</v>
      </c>
      <c r="I8" s="14" t="n">
        <f aca="false">G8*$B$22</f>
        <v>4957.31957507806</v>
      </c>
      <c r="J8" s="14" t="n">
        <f aca="false">H8+I8-C8</f>
        <v>3569.22481274458</v>
      </c>
      <c r="K8" s="14" t="n">
        <f aca="false">MIN(H8,MAX(J8,0))</f>
        <v>1565.79419675602</v>
      </c>
      <c r="L8" s="14" t="n">
        <f aca="false">C8-H8+K8</f>
        <v>2953.88895908949</v>
      </c>
      <c r="M8" s="14" t="n">
        <f aca="false">IF(G8=0,0,L8/G8)</f>
        <v>15.218370103557</v>
      </c>
    </row>
    <row r="9" customFormat="false" ht="15" hidden="false" customHeight="false" outlineLevel="0" collapsed="false">
      <c r="A9" s="5" t="n">
        <v>42735</v>
      </c>
      <c r="B9" s="6" t="n">
        <v>13.53</v>
      </c>
      <c r="C9" s="7" t="n">
        <f aca="false">IF($B$25="Equal Shares",D9*B9,$B$27)</f>
        <v>2953.88895908949</v>
      </c>
      <c r="D9" s="8" t="n">
        <f aca="false">IF($B$25="Equal Shares",$B$26/COUNT($B$5:$B$15),C9/B9)</f>
        <v>218.321430827013</v>
      </c>
      <c r="E9" s="9" t="n">
        <f aca="false">$B$20</f>
        <v>5.375</v>
      </c>
      <c r="F9" s="10" t="n">
        <f aca="false">$B$21</f>
        <v>0.6663</v>
      </c>
      <c r="G9" s="11" t="n">
        <f aca="false">D9*F9</f>
        <v>145.467569360039</v>
      </c>
      <c r="H9" s="7" t="n">
        <f aca="false">D9*E9</f>
        <v>1173.4776906952</v>
      </c>
      <c r="I9" s="7" t="n">
        <f aca="false">G9*$B$22</f>
        <v>3715.24172145539</v>
      </c>
      <c r="J9" s="7" t="n">
        <f aca="false">H9+I9-C9</f>
        <v>1934.8304530611</v>
      </c>
      <c r="K9" s="7" t="n">
        <f aca="false">MIN(H9,MAX(J9,0))</f>
        <v>1173.4776906952</v>
      </c>
      <c r="L9" s="7" t="n">
        <f aca="false">C9-H9+K9</f>
        <v>2953.88895908949</v>
      </c>
      <c r="M9" s="7" t="n">
        <f aca="false">IF(G9=0,0,L9/G9)</f>
        <v>20.3061683926159</v>
      </c>
    </row>
    <row r="10" customFormat="false" ht="15" hidden="false" customHeight="false" outlineLevel="0" collapsed="false">
      <c r="A10" s="12" t="n">
        <v>42947</v>
      </c>
      <c r="B10" s="13" t="n">
        <v>18.28</v>
      </c>
      <c r="C10" s="14" t="n">
        <f aca="false">IF($B$25="Equal Shares",D10*B10,$B$27)</f>
        <v>2953.88895908949</v>
      </c>
      <c r="D10" s="15" t="n">
        <f aca="false">IF($B$25="Equal Shares",$B$26/COUNT($B$5:$B$15),C10/B10)</f>
        <v>161.591299731373</v>
      </c>
      <c r="E10" s="16" t="n">
        <f aca="false">$B$20</f>
        <v>5.375</v>
      </c>
      <c r="F10" s="17" t="n">
        <f aca="false">$B$21</f>
        <v>0.6663</v>
      </c>
      <c r="G10" s="18" t="n">
        <f aca="false">D10*F10</f>
        <v>107.668283011013</v>
      </c>
      <c r="H10" s="14" t="n">
        <f aca="false">D10*E10</f>
        <v>868.553236056127</v>
      </c>
      <c r="I10" s="14" t="n">
        <f aca="false">G10*$B$22</f>
        <v>2749.84794810128</v>
      </c>
      <c r="J10" s="14" t="n">
        <f aca="false">H10+I10-C10</f>
        <v>664.512225067922</v>
      </c>
      <c r="K10" s="14" t="n">
        <f aca="false">MIN(H10,MAX(J10,0))</f>
        <v>664.512225067922</v>
      </c>
      <c r="L10" s="14" t="n">
        <f aca="false">C10-H10+K10</f>
        <v>2749.84794810128</v>
      </c>
      <c r="M10" s="14" t="n">
        <f aca="false">IF(G10=0,0,L10/G10)</f>
        <v>25.54</v>
      </c>
    </row>
    <row r="11" customFormat="false" ht="15" hidden="false" customHeight="false" outlineLevel="0" collapsed="false">
      <c r="A11" s="5" t="n">
        <v>43100</v>
      </c>
      <c r="B11" s="6" t="n">
        <v>18.13</v>
      </c>
      <c r="C11" s="7" t="n">
        <f aca="false">IF($B$25="Equal Shares",D11*B11,$B$27)</f>
        <v>2953.88895908949</v>
      </c>
      <c r="D11" s="8" t="n">
        <f aca="false">IF($B$25="Equal Shares",$B$26/COUNT($B$5:$B$15),C11/B11)</f>
        <v>162.928238228874</v>
      </c>
      <c r="E11" s="9" t="n">
        <f aca="false">$B$20</f>
        <v>5.375</v>
      </c>
      <c r="F11" s="10" t="n">
        <f aca="false">$B$21</f>
        <v>0.6663</v>
      </c>
      <c r="G11" s="11" t="n">
        <f aca="false">D11*F11</f>
        <v>108.559085131899</v>
      </c>
      <c r="H11" s="7" t="n">
        <f aca="false">D11*E11</f>
        <v>875.739280480199</v>
      </c>
      <c r="I11" s="7" t="n">
        <f aca="false">G11*$B$22</f>
        <v>2772.5990342687</v>
      </c>
      <c r="J11" s="7" t="n">
        <f aca="false">H11+I11-C11</f>
        <v>694.449355659407</v>
      </c>
      <c r="K11" s="7" t="n">
        <f aca="false">MIN(H11,MAX(J11,0))</f>
        <v>694.449355659407</v>
      </c>
      <c r="L11" s="7" t="n">
        <f aca="false">C11-H11+K11</f>
        <v>2772.5990342687</v>
      </c>
      <c r="M11" s="7" t="n">
        <f aca="false">IF(G11=0,0,L11/G11)</f>
        <v>25.54</v>
      </c>
    </row>
    <row r="12" customFormat="false" ht="15" hidden="false" customHeight="false" outlineLevel="0" collapsed="false">
      <c r="A12" s="12" t="n">
        <v>43312</v>
      </c>
      <c r="B12" s="13" t="n">
        <v>18.6</v>
      </c>
      <c r="C12" s="14" t="n">
        <f aca="false">IF($B$25="Equal Shares",D12*B12,$B$27)</f>
        <v>2953.88895908949</v>
      </c>
      <c r="D12" s="15" t="n">
        <f aca="false">IF($B$25="Equal Shares",$B$26/COUNT($B$5:$B$15),C12/B12)</f>
        <v>158.81123435965</v>
      </c>
      <c r="E12" s="16" t="n">
        <f aca="false">$B$20</f>
        <v>5.375</v>
      </c>
      <c r="F12" s="17" t="n">
        <f aca="false">$B$21</f>
        <v>0.6663</v>
      </c>
      <c r="G12" s="18" t="n">
        <f aca="false">D12*F12</f>
        <v>105.815925453835</v>
      </c>
      <c r="H12" s="14" t="n">
        <f aca="false">D12*E12</f>
        <v>853.610384683119</v>
      </c>
      <c r="I12" s="14" t="n">
        <f aca="false">G12*$B$22</f>
        <v>2702.53873609094</v>
      </c>
      <c r="J12" s="14" t="n">
        <f aca="false">H12+I12-C12</f>
        <v>602.260161684569</v>
      </c>
      <c r="K12" s="14" t="n">
        <f aca="false">MIN(H12,MAX(J12,0))</f>
        <v>602.260161684569</v>
      </c>
      <c r="L12" s="14" t="n">
        <f aca="false">C12-H12+K12</f>
        <v>2702.53873609094</v>
      </c>
      <c r="M12" s="14" t="n">
        <f aca="false">IF(G12=0,0,L12/G12)</f>
        <v>25.54</v>
      </c>
    </row>
    <row r="13" customFormat="false" ht="15" hidden="false" customHeight="false" outlineLevel="0" collapsed="false">
      <c r="A13" s="5" t="n">
        <v>43465</v>
      </c>
      <c r="B13" s="6" t="n">
        <v>15.26</v>
      </c>
      <c r="C13" s="7" t="n">
        <f aca="false">IF($B$25="Equal Shares",D13*B13,$B$27)</f>
        <v>2953.88895908949</v>
      </c>
      <c r="D13" s="8" t="n">
        <f aca="false">IF($B$25="Equal Shares",$B$26/COUNT($B$5:$B$15),C13/B13)</f>
        <v>193.570705051736</v>
      </c>
      <c r="E13" s="9" t="n">
        <f aca="false">$B$20</f>
        <v>5.375</v>
      </c>
      <c r="F13" s="10" t="n">
        <f aca="false">$B$21</f>
        <v>0.6663</v>
      </c>
      <c r="G13" s="11" t="n">
        <f aca="false">D13*F13</f>
        <v>128.976160775972</v>
      </c>
      <c r="H13" s="7" t="n">
        <f aca="false">D13*E13</f>
        <v>1040.44253965308</v>
      </c>
      <c r="I13" s="7" t="n">
        <f aca="false">G13*$B$22</f>
        <v>3294.05114621832</v>
      </c>
      <c r="J13" s="7" t="n">
        <f aca="false">H13+I13-C13</f>
        <v>1380.60472678191</v>
      </c>
      <c r="K13" s="7" t="n">
        <f aca="false">MIN(H13,MAX(J13,0))</f>
        <v>1040.44253965308</v>
      </c>
      <c r="L13" s="7" t="n">
        <f aca="false">C13-H13+K13</f>
        <v>2953.88895908949</v>
      </c>
      <c r="M13" s="7" t="n">
        <f aca="false">IF(G13=0,0,L13/G13)</f>
        <v>22.9025964280354</v>
      </c>
    </row>
    <row r="14" customFormat="false" ht="15" hidden="false" customHeight="false" outlineLevel="0" collapsed="false">
      <c r="A14" s="12" t="n">
        <v>43677</v>
      </c>
      <c r="B14" s="13" t="n">
        <v>14.21</v>
      </c>
      <c r="C14" s="14" t="n">
        <f aca="false">IF($B$25="Equal Shares",D14*B14,$B$27)</f>
        <v>2953.88895908949</v>
      </c>
      <c r="D14" s="15" t="n">
        <f aca="false">IF($B$25="Equal Shares",$B$26/COUNT($B$5:$B$15),C14/B14)</f>
        <v>207.873959119598</v>
      </c>
      <c r="E14" s="16" t="n">
        <f aca="false">$B$20</f>
        <v>5.375</v>
      </c>
      <c r="F14" s="17" t="n">
        <f aca="false">$B$21</f>
        <v>0.6663</v>
      </c>
      <c r="G14" s="18" t="n">
        <f aca="false">D14*F14</f>
        <v>138.506418961388</v>
      </c>
      <c r="H14" s="14" t="n">
        <f aca="false">D14*E14</f>
        <v>1117.32253026784</v>
      </c>
      <c r="I14" s="14" t="n">
        <f aca="false">G14*$B$22</f>
        <v>3537.45394027386</v>
      </c>
      <c r="J14" s="14" t="n">
        <f aca="false">H14+I14-C14</f>
        <v>1700.88751145221</v>
      </c>
      <c r="K14" s="14" t="n">
        <f aca="false">MIN(H14,MAX(J14,0))</f>
        <v>1117.32253026784</v>
      </c>
      <c r="L14" s="14" t="n">
        <f aca="false">C14-H14+K14</f>
        <v>2953.88895908949</v>
      </c>
      <c r="M14" s="14" t="n">
        <f aca="false">IF(G14=0,0,L14/G14)</f>
        <v>21.3267297013357</v>
      </c>
    </row>
    <row r="15" customFormat="false" ht="15" hidden="false" customHeight="false" outlineLevel="0" collapsed="false">
      <c r="A15" s="5" t="n">
        <v>43830</v>
      </c>
      <c r="B15" s="6" t="n">
        <v>22.4</v>
      </c>
      <c r="C15" s="7" t="n">
        <f aca="false">IF($B$25="Equal Shares",D15*B15,$B$27)</f>
        <v>2953.88895908949</v>
      </c>
      <c r="D15" s="8" t="n">
        <f aca="false">IF($B$25="Equal Shares",$B$26/COUNT($B$5:$B$15),C15/B15)</f>
        <v>131.870042816495</v>
      </c>
      <c r="E15" s="9" t="n">
        <f aca="false">$B$20</f>
        <v>5.375</v>
      </c>
      <c r="F15" s="10" t="n">
        <f aca="false">$B$21</f>
        <v>0.6663</v>
      </c>
      <c r="G15" s="11" t="n">
        <f aca="false">D15*F15</f>
        <v>87.8650095286307</v>
      </c>
      <c r="H15" s="7" t="n">
        <f aca="false">D15*E15</f>
        <v>708.801480138661</v>
      </c>
      <c r="I15" s="7" t="n">
        <f aca="false">G15*$B$22</f>
        <v>2244.07234336123</v>
      </c>
      <c r="J15" s="7" t="n">
        <f aca="false">H15+I15-C15</f>
        <v>-1.01513558960096</v>
      </c>
      <c r="K15" s="7" t="n">
        <f aca="false">MIN(H15,MAX(J15,0))</f>
        <v>0</v>
      </c>
      <c r="L15" s="7" t="n">
        <f aca="false">C15-H15+K15</f>
        <v>2245.08747895083</v>
      </c>
      <c r="M15" s="7" t="n">
        <f aca="false">IF(G15=0,0,L15/G15)</f>
        <v>25.5515533543449</v>
      </c>
    </row>
    <row r="16" customFormat="false" ht="15" hidden="false" customHeight="false" outlineLevel="0" collapsed="false">
      <c r="A16" s="19" t="s">
        <v>15</v>
      </c>
      <c r="B16" s="20"/>
      <c r="C16" s="20" t="n">
        <f aca="false">SUM(C5:C15)</f>
        <v>32492.7785499844</v>
      </c>
      <c r="D16" s="21" t="n">
        <f aca="false">SUM(D5:D15)</f>
        <v>2601</v>
      </c>
      <c r="E16" s="22"/>
      <c r="F16" s="23"/>
      <c r="G16" s="24" t="n">
        <f aca="false">SUM(G5:G15)</f>
        <v>1733.0463</v>
      </c>
      <c r="H16" s="20" t="n">
        <f aca="false">SUM(H5:H15)</f>
        <v>13980.375</v>
      </c>
      <c r="I16" s="20" t="n">
        <f aca="false">SUM(I5:I15)</f>
        <v>44262.002502</v>
      </c>
      <c r="J16" s="20" t="n">
        <f aca="false">SUM(J5:J15)</f>
        <v>25749.5989520156</v>
      </c>
      <c r="K16" s="20" t="n">
        <f aca="false">SUM(K5:K15)</f>
        <v>12634.8923610538</v>
      </c>
      <c r="L16" s="25" t="n">
        <f aca="false">SUM(L5:L15)</f>
        <v>31147.2959110382</v>
      </c>
      <c r="M16" s="25" t="n">
        <f aca="false">IF(G16=0,0,L16/G16)</f>
        <v>17.9725699832937</v>
      </c>
    </row>
    <row r="17" customFormat="false" ht="15" hidden="false" customHeight="false" outlineLevel="0" collapsed="false">
      <c r="A17" s="26" t="s">
        <v>16</v>
      </c>
    </row>
    <row r="19" customFormat="false" ht="15" hidden="false" customHeight="false" outlineLevel="0" collapsed="false">
      <c r="A19" s="27" t="s">
        <v>17</v>
      </c>
      <c r="B19" s="2"/>
      <c r="C19" s="2"/>
    </row>
    <row r="20" customFormat="false" ht="15" hidden="false" customHeight="false" outlineLevel="0" collapsed="false">
      <c r="A20" s="28" t="s">
        <v>18</v>
      </c>
      <c r="B20" s="29" t="n">
        <v>5.375</v>
      </c>
    </row>
    <row r="21" customFormat="false" ht="15" hidden="false" customHeight="false" outlineLevel="0" collapsed="false">
      <c r="A21" s="28" t="s">
        <v>19</v>
      </c>
      <c r="B21" s="30" t="n">
        <v>0.6663</v>
      </c>
    </row>
    <row r="22" customFormat="false" ht="15" hidden="false" customHeight="false" outlineLevel="0" collapsed="false">
      <c r="A22" s="28" t="s">
        <v>20</v>
      </c>
      <c r="B22" s="29" t="n">
        <v>25.54</v>
      </c>
    </row>
    <row r="23" customFormat="false" ht="15" hidden="false" customHeight="false" outlineLevel="0" collapsed="false">
      <c r="A23" s="28" t="s">
        <v>21</v>
      </c>
      <c r="B23" s="31" t="n">
        <v>43831</v>
      </c>
    </row>
    <row r="24" customFormat="false" ht="15" hidden="false" customHeight="false" outlineLevel="0" collapsed="false">
      <c r="A24" s="28" t="s">
        <v>22</v>
      </c>
      <c r="B24" s="32" t="n">
        <v>1733</v>
      </c>
    </row>
    <row r="25" customFormat="false" ht="15" hidden="false" customHeight="false" outlineLevel="0" collapsed="false">
      <c r="A25" s="28" t="s">
        <v>23</v>
      </c>
      <c r="B25" s="33" t="s">
        <v>24</v>
      </c>
    </row>
    <row r="26" customFormat="false" ht="15" hidden="false" customHeight="false" outlineLevel="0" collapsed="false">
      <c r="A26" s="28" t="s">
        <v>25</v>
      </c>
      <c r="B26" s="34" t="n">
        <f aca="false">ROUNDUP(B24/B21,0)</f>
        <v>2601</v>
      </c>
      <c r="C26" s="3" t="str">
        <f aca="false">IF(INT(B26*B21)=B24,"✓ ties to OCFC shares held","CHECK – does not tie")</f>
        <v>✓ ties to OCFC shares held</v>
      </c>
    </row>
    <row r="27" customFormat="false" ht="15" hidden="false" customHeight="false" outlineLevel="0" collapsed="false">
      <c r="A27" s="28" t="s">
        <v>26</v>
      </c>
      <c r="B27" s="35" t="n">
        <f aca="false">IF(B25="Equal Shares",B26/COUNT(B5:B15)*AVERAGE(B5:B15),B26/SUMPRODUCT(1/B5:B15))</f>
        <v>2953.88895908949</v>
      </c>
    </row>
    <row r="29" customFormat="false" ht="15" hidden="false" customHeight="false" outlineLevel="0" collapsed="false">
      <c r="A29" s="27" t="s">
        <v>27</v>
      </c>
      <c r="B29" s="2"/>
      <c r="C29" s="2"/>
      <c r="D29" s="2"/>
    </row>
    <row r="30" customFormat="false" ht="15" hidden="false" customHeight="false" outlineLevel="0" collapsed="false">
      <c r="A30" s="28" t="s">
        <v>28</v>
      </c>
      <c r="B30" s="36" t="n">
        <f aca="false">C16</f>
        <v>32492.7785499844</v>
      </c>
    </row>
    <row r="31" customFormat="false" ht="15" hidden="false" customHeight="false" outlineLevel="0" collapsed="false">
      <c r="A31" s="28" t="s">
        <v>29</v>
      </c>
      <c r="B31" s="37" t="n">
        <f aca="false">D16</f>
        <v>2601</v>
      </c>
    </row>
    <row r="32" customFormat="false" ht="15" hidden="false" customHeight="false" outlineLevel="0" collapsed="false">
      <c r="A32" s="28" t="s">
        <v>30</v>
      </c>
      <c r="B32" s="36" t="n">
        <f aca="false">H16</f>
        <v>13980.375</v>
      </c>
    </row>
    <row r="33" customFormat="false" ht="15" hidden="false" customHeight="false" outlineLevel="0" collapsed="false">
      <c r="A33" s="28" t="s">
        <v>31</v>
      </c>
      <c r="B33" s="38" t="n">
        <f aca="false">G16</f>
        <v>1733.0463</v>
      </c>
    </row>
    <row r="34" customFormat="false" ht="15" hidden="false" customHeight="false" outlineLevel="0" collapsed="false">
      <c r="A34" s="28" t="s">
        <v>32</v>
      </c>
      <c r="B34" s="36" t="n">
        <f aca="false">I16</f>
        <v>44262.002502</v>
      </c>
    </row>
    <row r="35" customFormat="false" ht="15" hidden="false" customHeight="false" outlineLevel="0" collapsed="false">
      <c r="A35" s="28" t="s">
        <v>33</v>
      </c>
      <c r="B35" s="36" t="n">
        <f aca="false">B32+B34</f>
        <v>58242.377502</v>
      </c>
    </row>
    <row r="36" customFormat="false" ht="15" hidden="false" customHeight="false" outlineLevel="0" collapsed="false">
      <c r="A36" s="28" t="s">
        <v>34</v>
      </c>
      <c r="B36" s="36" t="n">
        <f aca="false">B35-B30</f>
        <v>25749.5989520156</v>
      </c>
    </row>
    <row r="37" customFormat="false" ht="15" hidden="false" customHeight="false" outlineLevel="0" collapsed="false">
      <c r="A37" s="28" t="s">
        <v>35</v>
      </c>
      <c r="B37" s="39" t="n">
        <f aca="false">IF(B30=0,0,B36/B30)</f>
        <v>0.792471438304497</v>
      </c>
    </row>
    <row r="38" customFormat="false" ht="15" hidden="false" customHeight="false" outlineLevel="0" collapsed="false">
      <c r="A38" s="28" t="s">
        <v>36</v>
      </c>
      <c r="B38" s="36" t="n">
        <f aca="false">K16</f>
        <v>12634.8923610538</v>
      </c>
    </row>
    <row r="39" customFormat="false" ht="15" hidden="false" customHeight="false" outlineLevel="0" collapsed="false">
      <c r="A39" s="28" t="s">
        <v>37</v>
      </c>
      <c r="B39" s="38" t="n">
        <f aca="false">G16-$B$24</f>
        <v>0.0463000000002012</v>
      </c>
    </row>
    <row r="40" customFormat="false" ht="15" hidden="false" customHeight="false" outlineLevel="0" collapsed="false">
      <c r="A40" s="28" t="s">
        <v>38</v>
      </c>
      <c r="B40" s="36" t="n">
        <f aca="false">B39*M16</f>
        <v>0.832129990230113</v>
      </c>
    </row>
    <row r="41" customFormat="false" ht="15" hidden="false" customHeight="false" outlineLevel="0" collapsed="false">
      <c r="A41" s="40" t="s">
        <v>39</v>
      </c>
      <c r="B41" s="41" t="n">
        <f aca="false">$B$24</f>
        <v>1733</v>
      </c>
    </row>
    <row r="42" customFormat="false" ht="15" hidden="false" customHeight="false" outlineLevel="0" collapsed="false">
      <c r="A42" s="40" t="s">
        <v>40</v>
      </c>
      <c r="B42" s="42" t="n">
        <f aca="false">L16-B40</f>
        <v>31146.4637810479</v>
      </c>
    </row>
    <row r="43" customFormat="false" ht="15" hidden="false" customHeight="false" outlineLevel="0" collapsed="false">
      <c r="A43" s="40" t="s">
        <v>41</v>
      </c>
      <c r="B43" s="42" t="n">
        <f aca="false">IF(B41=0,0,B42/B41)</f>
        <v>17.9725699832937</v>
      </c>
    </row>
    <row r="45" customFormat="false" ht="15" hidden="false" customHeight="false" outlineLevel="0" collapsed="false">
      <c r="A45" s="27" t="s">
        <v>42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" hidden="false" customHeight="false" outlineLevel="0" collapsed="false">
      <c r="A46" s="43" t="s">
        <v>43</v>
      </c>
    </row>
    <row r="47" customFormat="false" ht="15" hidden="false" customHeight="false" outlineLevel="0" collapsed="false">
      <c r="A47" s="43" t="s">
        <v>44</v>
      </c>
    </row>
    <row r="48" customFormat="false" ht="15" hidden="false" customHeight="false" outlineLevel="0" collapsed="false">
      <c r="A48" s="43" t="s">
        <v>45</v>
      </c>
    </row>
    <row r="49" customFormat="false" ht="15" hidden="false" customHeight="false" outlineLevel="0" collapsed="false">
      <c r="A49" s="43" t="s">
        <v>46</v>
      </c>
    </row>
    <row r="50" customFormat="false" ht="15" hidden="false" customHeight="false" outlineLevel="0" collapsed="false">
      <c r="A50" s="43" t="s">
        <v>47</v>
      </c>
    </row>
  </sheetData>
  <autoFilter ref="A4:M15"/>
  <dataValidations count="1">
    <dataValidation allowBlank="false" errorStyle="stop" operator="between" showDropDown="false" showErrorMessage="false" showInputMessage="false" sqref="B25" type="list">
      <formula1>"Equal Dollars,Equal Shares"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2026-10-16T15:33:37Z</dcterms:created>
  <dc:creator>openpyxl</dc:creator>
  <dc:description/>
  <dc:language>en-US</dc:language>
  <cp:lastModifiedBy/>
  <dcterms:modified xsi:type="dcterms:W3CDTF">2026-10-16T15:33:37Z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