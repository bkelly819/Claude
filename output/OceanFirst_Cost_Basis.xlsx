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st Basi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Provided by user (client's current OCFC position).</t>
        </r>
      </text>
    </comment>
    <comment ref="B5" authorId="0">
      <text>
        <r>
          <rPr>
            <sz val="10"/>
            <rFont val="Arial"/>
            <family val="2"/>
          </rPr>
          <t xml:space="preserve">Merger terms, provided by user.</t>
        </r>
      </text>
    </comment>
    <comment ref="B6" authorId="0">
      <text>
        <r>
          <rPr>
            <sz val="10"/>
            <rFont val="Arial"/>
            <family val="2"/>
          </rPr>
          <t xml:space="preserve">Merger terms, provided by user.</t>
        </r>
      </text>
    </comment>
    <comment ref="B7" authorId="0">
      <text>
        <r>
          <rPr>
            <sz val="10"/>
            <rFont val="Arial"/>
            <family val="2"/>
          </rPr>
          <t xml:space="preserve">Provided by user; used as FMV of OCFC stock received.</t>
        </r>
      </text>
    </comment>
    <comment ref="B8" authorId="0">
      <text>
        <r>
          <rPr>
            <sz val="10"/>
            <rFont val="Arial"/>
            <family val="2"/>
          </rPr>
          <t xml:space="preserve">OceanFirst completed the Two River acquisition effective Jan 1, 2020.</t>
        </r>
      </text>
    </comment>
    <comment ref="B9" authorId="0">
      <text>
        <r>
          <rPr>
            <sz val="10"/>
            <rFont val="Arial"/>
            <family val="2"/>
          </rPr>
          <t xml:space="preserve">'Equal Dollars' = same $ invested each purchase; 'Equal Shares' = same # of shares each purchase.</t>
        </r>
      </text>
    </comment>
  </commentList>
</comments>
</file>

<file path=xl/sharedStrings.xml><?xml version="1.0" encoding="utf-8"?>
<sst xmlns="http://schemas.openxmlformats.org/spreadsheetml/2006/main" count="51" uniqueCount="51">
  <si>
    <t xml:space="preserve">OceanFirst (OCFC) Cost Basis — Two River Bancorp Acquisition</t>
  </si>
  <si>
    <t xml:space="preserve">Blue = inputs (editable); yellow = key assumptions; black = formulas.</t>
  </si>
  <si>
    <t xml:space="preserve">OCFC shares currently held</t>
  </si>
  <si>
    <t xml:space="preserve">Exchange ratio (OCFC shares per Two River share)</t>
  </si>
  <si>
    <t xml:space="preserve">Cash per Two River share</t>
  </si>
  <si>
    <t xml:space="preserve">OCFC closing price 12/31/2019 (FMV)</t>
  </si>
  <si>
    <t xml:space="preserve">Merger effective date</t>
  </si>
  <si>
    <t xml:space="preserve">Purchase allocation method</t>
  </si>
  <si>
    <t xml:space="preserve">Equal Dollars</t>
  </si>
  <si>
    <t xml:space="preserve">Implied Two River shares exchanged</t>
  </si>
  <si>
    <t xml:space="preserve">Smallest whole # of Two River shares that yields the OCFC shares held (remainder paid as cash in lieu).</t>
  </si>
  <si>
    <t xml:space="preserve">Check: whole OCFC shares from implied TR shares</t>
  </si>
  <si>
    <t xml:space="preserve">Purchase Date</t>
  </si>
  <si>
    <t xml:space="preserve">Two River Share Price</t>
  </si>
  <si>
    <t xml:space="preserve">Two River Shares Bought</t>
  </si>
  <si>
    <t xml:space="preserve">Two River Cost Basis</t>
  </si>
  <si>
    <t xml:space="preserve">Cash Received ($5.375/sh)</t>
  </si>
  <si>
    <t xml:space="preserve">OCFC Shares Received (incl. fractional)</t>
  </si>
  <si>
    <t xml:space="preserve">FMV of OCFC Stock Received</t>
  </si>
  <si>
    <t xml:space="preserve">Total Consideration</t>
  </si>
  <si>
    <t xml:space="preserve">Gain / (Loss) Realized</t>
  </si>
  <si>
    <t xml:space="preserve">Gain Recognized (lesser of gain or cash)</t>
  </si>
  <si>
    <t xml:space="preserve">OCFC Cost Basis (Lot)</t>
  </si>
  <si>
    <t xml:space="preserve">OCFC Basis per Share</t>
  </si>
  <si>
    <t xml:space="preserve">Holding Period at Merger</t>
  </si>
  <si>
    <t xml:space="preserve">OCFC Whole Shares Held (Lot)</t>
  </si>
  <si>
    <t xml:space="preserve">OCFC Basis of Whole Shares (Lot)</t>
  </si>
  <si>
    <t xml:space="preserve">Helper: 1 / Price</t>
  </si>
  <si>
    <t xml:space="preserve">TOTAL</t>
  </si>
  <si>
    <t xml:space="preserve">↑ weighted avg price</t>
  </si>
  <si>
    <t xml:space="preserve">SUMMARY</t>
  </si>
  <si>
    <t xml:space="preserve">Total Two River cost basis</t>
  </si>
  <si>
    <t xml:space="preserve">Total cash received in merger</t>
  </si>
  <si>
    <t xml:space="preserve">Total gain recognized in merger (taxable boot)</t>
  </si>
  <si>
    <t xml:space="preserve">OCFC shares received (incl. fractional)</t>
  </si>
  <si>
    <t xml:space="preserve">Fractional OCFC share paid in cash</t>
  </si>
  <si>
    <t xml:space="preserve">Approx. cash in lieu of fractional share</t>
  </si>
  <si>
    <t xml:space="preserve">Basis allocated to fractional share</t>
  </si>
  <si>
    <t xml:space="preserve">Gain/(loss) on fractional share</t>
  </si>
  <si>
    <t xml:space="preserve">OCFC WHOLE SHARES HELD</t>
  </si>
  <si>
    <t xml:space="preserve">TOTAL OCFC COST BASIS (whole shares)</t>
  </si>
  <si>
    <t xml:space="preserve">AVERAGE OCFC COST BASIS PER SHARE</t>
  </si>
  <si>
    <t xml:space="preserve">METHODOLOGY &amp; ASSUMPTIONS</t>
  </si>
  <si>
    <t xml:space="preserve">1. Two River shares exchanged = smallest whole number of shares that produces the OCFC shares held (1,733 / 0.6663 = 2,600.93 → 2,601). 2,601 × 0.6663 = 1,733.0463 OCFC shares; the 0.0463 fractional share was paid in cash.</t>
  </si>
  <si>
    <t xml:space="preserve">2. Purchases: 11 purchases (12/31/2014 – 12/31/2019, every July and December, per the price table). 'Equal Dollars' (default) invests the same $ each time; switch B9 to 'Equal Shares' to buy the same # of shares each time.</t>
  </si>
  <si>
    <t xml:space="preserve">3. Tax treatment: the merger is treated as a tax-free reorganization with boot (IRC §354/356). Per lot, gain recognized = lesser of gain realized or cash received; losses are not recognized.</t>
  </si>
  <si>
    <t xml:space="preserve">4. OCFC basis per lot = Two River basis − cash received + gain recognized (IRC §358). Basis is computed lot-by-lot, preserving original acquisition dates for holding period.</t>
  </si>
  <si>
    <t xml:space="preserve">5. Holding period of OCFC shares tacks on to the Two River purchase date. The 7/31/2019 and 12/31/2019 lots were held &lt; 1 year at the 1/1/2020 effective date.</t>
  </si>
  <si>
    <t xml:space="preserve">6. FMV of OCFC stock uses the $25.54 12/31/2019 close (provided). Actual cash-in-lieu price per OceanFirst's exchange agent may differ slightly; confirm against the client's 1099-B.</t>
  </si>
  <si>
    <t xml:space="preserve">7. Fractional share basis is removed pro rata from every lot; columns N–O show the whole-share lot schedule to report.</t>
  </si>
  <si>
    <t xml:space="preserve">This is an estimate for planning purposes — verify with the broker's cost basis records and OceanFirst's Form 8937.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</si>
</sst>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00"/>
    <numFmt numFmtId="167" formatCode="\$#,##0.0000;&quot;($&quot;#,##0.0000\);\-"/>
    <numFmt numFmtId="168" formatCode="\$#,##0.00;&quot;($&quot;#,##0.00\);\-"/>
    <numFmt numFmtId="169" formatCode="mm/dd/yyyy"/>
    <numFmt numFmtId="170" formatCode="@"/>
    <numFmt numFmtId="171" formatCode="#,##0.0000;\(#,##0.0000\);\-"/>
    <numFmt numFmtId="172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7" min="6" style="0" width="16"/>
    <col collapsed="false" customWidth="true" hidden="false" outlineLevel="0" max="9" min="8" style="0" width="15"/>
    <col collapsed="false" customWidth="true" hidden="false" outlineLevel="0" max="11" min="10" style="0" width="16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6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1733</v>
      </c>
    </row>
    <row r="5" customFormat="false" ht="15" hidden="false" customHeight="false" outlineLevel="0" collapsed="false">
      <c r="A5" s="3" t="s">
        <v>3</v>
      </c>
      <c r="B5" s="5" t="n">
        <v>0.6663</v>
      </c>
    </row>
    <row r="6" customFormat="false" ht="15" hidden="false" customHeight="false" outlineLevel="0" collapsed="false">
      <c r="A6" s="3" t="s">
        <v>4</v>
      </c>
      <c r="B6" s="6" t="n">
        <v>5.375</v>
      </c>
    </row>
    <row r="7" customFormat="false" ht="15" hidden="false" customHeight="false" outlineLevel="0" collapsed="false">
      <c r="A7" s="3" t="s">
        <v>5</v>
      </c>
      <c r="B7" s="7" t="n">
        <v>25.54</v>
      </c>
    </row>
    <row r="8" customFormat="false" ht="15" hidden="false" customHeight="false" outlineLevel="0" collapsed="false">
      <c r="A8" s="3" t="s">
        <v>6</v>
      </c>
      <c r="B8" s="8" t="n">
        <v>43831</v>
      </c>
    </row>
    <row r="9" customFormat="false" ht="15" hidden="false" customHeight="false" outlineLevel="0" collapsed="false">
      <c r="A9" s="3" t="s">
        <v>7</v>
      </c>
      <c r="B9" s="9" t="s">
        <v>8</v>
      </c>
    </row>
    <row r="10" customFormat="false" ht="15" hidden="false" customHeight="false" outlineLevel="0" collapsed="false">
      <c r="A10" s="3" t="s">
        <v>9</v>
      </c>
      <c r="B10" s="10" t="n">
        <f aca="false">ROUNDUP(B4/B5,0)</f>
        <v>2601</v>
      </c>
      <c r="C10" s="2" t="s">
        <v>10</v>
      </c>
    </row>
    <row r="11" customFormat="false" ht="15" hidden="false" customHeight="false" outlineLevel="0" collapsed="false">
      <c r="A11" s="3" t="s">
        <v>11</v>
      </c>
      <c r="B11" s="10" t="n">
        <f aca="false">INT(B10*B5)</f>
        <v>1733</v>
      </c>
      <c r="C11" s="2" t="str">
        <f aca="false">IF(B11=B4,"OK - ties to shares held","CHECK - does not tie")</f>
        <v>OK - ties to shares held</v>
      </c>
    </row>
    <row r="13" customFormat="false" ht="48" hidden="false" customHeight="true" outlineLevel="0" collapsed="false">
      <c r="A13" s="11" t="s">
        <v>12</v>
      </c>
      <c r="B13" s="11" t="s">
        <v>13</v>
      </c>
      <c r="C13" s="11" t="s">
        <v>14</v>
      </c>
      <c r="D13" s="11" t="s">
        <v>15</v>
      </c>
      <c r="E13" s="11" t="s">
        <v>16</v>
      </c>
      <c r="F13" s="11" t="s">
        <v>17</v>
      </c>
      <c r="G13" s="11" t="s">
        <v>18</v>
      </c>
      <c r="H13" s="11" t="s">
        <v>19</v>
      </c>
      <c r="I13" s="11" t="s">
        <v>20</v>
      </c>
      <c r="J13" s="11" t="s">
        <v>21</v>
      </c>
      <c r="K13" s="11" t="s">
        <v>22</v>
      </c>
      <c r="L13" s="11" t="s">
        <v>23</v>
      </c>
      <c r="M13" s="11" t="s">
        <v>24</v>
      </c>
      <c r="N13" s="11" t="s">
        <v>25</v>
      </c>
      <c r="O13" s="11" t="s">
        <v>26</v>
      </c>
      <c r="P13" s="11" t="s">
        <v>27</v>
      </c>
    </row>
    <row r="14" customFormat="false" ht="15" hidden="false" customHeight="false" outlineLevel="0" collapsed="false">
      <c r="A14" s="12" t="n">
        <v>42004</v>
      </c>
      <c r="B14" s="13" t="n">
        <v>7.65</v>
      </c>
      <c r="C14" s="14" t="n">
        <f aca="false">IF($B$9="Equal Shares",$B$10/COUNT($B$14:$B$24),($B$10/$P$25)/B14)</f>
        <v>386.129275697972</v>
      </c>
      <c r="D14" s="15" t="n">
        <f aca="false">C14*B14</f>
        <v>2953.88895908949</v>
      </c>
      <c r="E14" s="15" t="n">
        <f aca="false">C14*$B$6</f>
        <v>2075.4448568766</v>
      </c>
      <c r="F14" s="14" t="n">
        <f aca="false">C14*$B$5</f>
        <v>257.277936397559</v>
      </c>
      <c r="G14" s="15" t="n">
        <f aca="false">F14*$B$7</f>
        <v>6570.87849559366</v>
      </c>
      <c r="H14" s="15" t="n">
        <f aca="false">E14+G14</f>
        <v>8646.32335247026</v>
      </c>
      <c r="I14" s="15" t="n">
        <f aca="false">H14-D14</f>
        <v>5692.43439338077</v>
      </c>
      <c r="J14" s="15" t="n">
        <f aca="false">MIN(E14,MAX(I14,0))</f>
        <v>2075.4448568766</v>
      </c>
      <c r="K14" s="15" t="n">
        <f aca="false">D14-E14+J14</f>
        <v>2953.88895908949</v>
      </c>
      <c r="L14" s="16" t="n">
        <f aca="false">IF(F14=0,0,K14/F14)</f>
        <v>11.4813147230977</v>
      </c>
      <c r="M14" s="17" t="str">
        <f aca="false">IF(DATE(YEAR(A14)+1,MONTH(A14),DAY(A14))&lt;$B$8,"Long-term","Short-term")</f>
        <v>Long-term</v>
      </c>
      <c r="N14" s="14" t="n">
        <f aca="false">F14*$B$4/$F$25</f>
        <v>257.271062969852</v>
      </c>
      <c r="O14" s="15" t="n">
        <f aca="false">K14*$B$4/$F$25</f>
        <v>2953.81004310276</v>
      </c>
      <c r="P14" s="18" t="n">
        <f aca="false">1/B14</f>
        <v>0.130718954248366</v>
      </c>
    </row>
    <row r="15" customFormat="false" ht="15" hidden="false" customHeight="false" outlineLevel="0" collapsed="false">
      <c r="A15" s="12" t="n">
        <v>42216</v>
      </c>
      <c r="B15" s="13" t="n">
        <v>8.18</v>
      </c>
      <c r="C15" s="14" t="n">
        <f aca="false">IF($B$9="Equal Shares",$B$10/COUNT($B$14:$B$24),($B$10/$P$25)/B15)</f>
        <v>361.111119693092</v>
      </c>
      <c r="D15" s="15" t="n">
        <f aca="false">C15*B15</f>
        <v>2953.88895908949</v>
      </c>
      <c r="E15" s="15" t="n">
        <f aca="false">C15*$B$6</f>
        <v>1940.97226835037</v>
      </c>
      <c r="F15" s="14" t="n">
        <f aca="false">C15*$B$5</f>
        <v>240.608339051507</v>
      </c>
      <c r="G15" s="15" t="n">
        <f aca="false">F15*$B$7</f>
        <v>6145.13697937549</v>
      </c>
      <c r="H15" s="15" t="n">
        <f aca="false">E15+G15</f>
        <v>8086.10924772585</v>
      </c>
      <c r="I15" s="15" t="n">
        <f aca="false">H15-D15</f>
        <v>5132.22028863637</v>
      </c>
      <c r="J15" s="15" t="n">
        <f aca="false">MIN(E15,MAX(I15,0))</f>
        <v>1940.97226835037</v>
      </c>
      <c r="K15" s="15" t="n">
        <f aca="false">D15-E15+J15</f>
        <v>2953.88895908949</v>
      </c>
      <c r="L15" s="16" t="n">
        <f aca="false">IF(F15=0,0,K15/F15)</f>
        <v>12.2767522137175</v>
      </c>
      <c r="M15" s="17" t="str">
        <f aca="false">IF(DATE(YEAR(A15)+1,MONTH(A15),DAY(A15))&lt;$B$8,"Long-term","Short-term")</f>
        <v>Long-term</v>
      </c>
      <c r="N15" s="14" t="n">
        <f aca="false">F15*$B$4/$F$25</f>
        <v>240.601910968138</v>
      </c>
      <c r="O15" s="15" t="n">
        <f aca="false">K15*$B$4/$F$25</f>
        <v>2953.81004310276</v>
      </c>
      <c r="P15" s="18" t="n">
        <f aca="false">1/B15</f>
        <v>0.122249388753056</v>
      </c>
    </row>
    <row r="16" customFormat="false" ht="15" hidden="false" customHeight="false" outlineLevel="0" collapsed="false">
      <c r="A16" s="12" t="n">
        <v>42369</v>
      </c>
      <c r="B16" s="13" t="n">
        <v>9.02</v>
      </c>
      <c r="C16" s="14" t="n">
        <f aca="false">IF($B$9="Equal Shares",$B$10/COUNT($B$14:$B$24),($B$10/$P$25)/B16)</f>
        <v>327.48214624052</v>
      </c>
      <c r="D16" s="15" t="n">
        <f aca="false">C16*B16</f>
        <v>2953.88895908949</v>
      </c>
      <c r="E16" s="15" t="n">
        <f aca="false">C16*$B$6</f>
        <v>1760.21653604279</v>
      </c>
      <c r="F16" s="14" t="n">
        <f aca="false">C16*$B$5</f>
        <v>218.201354040058</v>
      </c>
      <c r="G16" s="15" t="n">
        <f aca="false">F16*$B$7</f>
        <v>5572.86258218309</v>
      </c>
      <c r="H16" s="15" t="n">
        <f aca="false">E16+G16</f>
        <v>7333.07911822589</v>
      </c>
      <c r="I16" s="15" t="n">
        <f aca="false">H16-D16</f>
        <v>4379.1901591364</v>
      </c>
      <c r="J16" s="15" t="n">
        <f aca="false">MIN(E16,MAX(I16,0))</f>
        <v>1760.21653604279</v>
      </c>
      <c r="K16" s="15" t="n">
        <f aca="false">D16-E16+J16</f>
        <v>2953.88895908949</v>
      </c>
      <c r="L16" s="16" t="n">
        <f aca="false">IF(F16=0,0,K16/F16)</f>
        <v>13.5374455950773</v>
      </c>
      <c r="M16" s="17" t="str">
        <f aca="false">IF(DATE(YEAR(A16)+1,MONTH(A16),DAY(A16))&lt;$B$8,"Long-term","Short-term")</f>
        <v>Long-term</v>
      </c>
      <c r="N16" s="14" t="n">
        <f aca="false">F16*$B$4/$F$25</f>
        <v>218.195524580862</v>
      </c>
      <c r="O16" s="15" t="n">
        <f aca="false">K16*$B$4/$F$25</f>
        <v>2953.81004310276</v>
      </c>
      <c r="P16" s="18" t="n">
        <f aca="false">1/B16</f>
        <v>0.110864745011086</v>
      </c>
    </row>
    <row r="17" customFormat="false" ht="15" hidden="false" customHeight="false" outlineLevel="0" collapsed="false">
      <c r="A17" s="12" t="n">
        <v>42582</v>
      </c>
      <c r="B17" s="13" t="n">
        <v>10.14</v>
      </c>
      <c r="C17" s="14" t="n">
        <f aca="false">IF($B$9="Equal Shares",$B$10/COUNT($B$14:$B$24),($B$10/$P$25)/B17)</f>
        <v>291.310548233677</v>
      </c>
      <c r="D17" s="15" t="n">
        <f aca="false">C17*B17</f>
        <v>2953.88895908949</v>
      </c>
      <c r="E17" s="15" t="n">
        <f aca="false">C17*$B$6</f>
        <v>1565.79419675602</v>
      </c>
      <c r="F17" s="14" t="n">
        <f aca="false">C17*$B$5</f>
        <v>194.100218288099</v>
      </c>
      <c r="G17" s="15" t="n">
        <f aca="false">F17*$B$7</f>
        <v>4957.31957507806</v>
      </c>
      <c r="H17" s="15" t="n">
        <f aca="false">E17+G17</f>
        <v>6523.11377183407</v>
      </c>
      <c r="I17" s="15" t="n">
        <f aca="false">H17-D17</f>
        <v>3569.22481274458</v>
      </c>
      <c r="J17" s="15" t="n">
        <f aca="false">MIN(E17,MAX(I17,0))</f>
        <v>1565.79419675602</v>
      </c>
      <c r="K17" s="15" t="n">
        <f aca="false">D17-E17+J17</f>
        <v>2953.88895908949</v>
      </c>
      <c r="L17" s="16" t="n">
        <f aca="false">IF(F17=0,0,K17/F17)</f>
        <v>15.218370103557</v>
      </c>
      <c r="M17" s="17" t="str">
        <f aca="false">IF(DATE(YEAR(A17)+1,MONTH(A17),DAY(A17))&lt;$B$8,"Long-term","Short-term")</f>
        <v>Long-term</v>
      </c>
      <c r="N17" s="14" t="n">
        <f aca="false">F17*$B$4/$F$25</f>
        <v>194.095032713942</v>
      </c>
      <c r="O17" s="15" t="n">
        <f aca="false">K17*$B$4/$F$25</f>
        <v>2953.81004310276</v>
      </c>
      <c r="P17" s="18" t="n">
        <f aca="false">1/B17</f>
        <v>0.0986193293885602</v>
      </c>
    </row>
    <row r="18" customFormat="false" ht="15" hidden="false" customHeight="false" outlineLevel="0" collapsed="false">
      <c r="A18" s="12" t="n">
        <v>42735</v>
      </c>
      <c r="B18" s="13" t="n">
        <v>13.53</v>
      </c>
      <c r="C18" s="14" t="n">
        <f aca="false">IF($B$9="Equal Shares",$B$10/COUNT($B$14:$B$24),($B$10/$P$25)/B18)</f>
        <v>218.321430827013</v>
      </c>
      <c r="D18" s="15" t="n">
        <f aca="false">C18*B18</f>
        <v>2953.88895908949</v>
      </c>
      <c r="E18" s="15" t="n">
        <f aca="false">C18*$B$6</f>
        <v>1173.4776906952</v>
      </c>
      <c r="F18" s="14" t="n">
        <f aca="false">C18*$B$5</f>
        <v>145.467569360039</v>
      </c>
      <c r="G18" s="15" t="n">
        <f aca="false">F18*$B$7</f>
        <v>3715.24172145539</v>
      </c>
      <c r="H18" s="15" t="n">
        <f aca="false">E18+G18</f>
        <v>4888.71941215059</v>
      </c>
      <c r="I18" s="15" t="n">
        <f aca="false">H18-D18</f>
        <v>1934.8304530611</v>
      </c>
      <c r="J18" s="15" t="n">
        <f aca="false">MIN(E18,MAX(I18,0))</f>
        <v>1173.4776906952</v>
      </c>
      <c r="K18" s="15" t="n">
        <f aca="false">D18-E18+J18</f>
        <v>2953.88895908949</v>
      </c>
      <c r="L18" s="16" t="n">
        <f aca="false">IF(F18=0,0,K18/F18)</f>
        <v>20.3061683926159</v>
      </c>
      <c r="M18" s="17" t="str">
        <f aca="false">IF(DATE(YEAR(A18)+1,MONTH(A18),DAY(A18))&lt;$B$8,"Long-term","Short-term")</f>
        <v>Long-term</v>
      </c>
      <c r="N18" s="14" t="n">
        <f aca="false">F18*$B$4/$F$25</f>
        <v>145.463683053908</v>
      </c>
      <c r="O18" s="15" t="n">
        <f aca="false">K18*$B$4/$F$25</f>
        <v>2953.81004310276</v>
      </c>
      <c r="P18" s="18" t="n">
        <f aca="false">1/B18</f>
        <v>0.073909830007391</v>
      </c>
    </row>
    <row r="19" customFormat="false" ht="15" hidden="false" customHeight="false" outlineLevel="0" collapsed="false">
      <c r="A19" s="12" t="n">
        <v>42947</v>
      </c>
      <c r="B19" s="13" t="n">
        <v>18.28</v>
      </c>
      <c r="C19" s="14" t="n">
        <f aca="false">IF($B$9="Equal Shares",$B$10/COUNT($B$14:$B$24),($B$10/$P$25)/B19)</f>
        <v>161.591299731373</v>
      </c>
      <c r="D19" s="15" t="n">
        <f aca="false">C19*B19</f>
        <v>2953.88895908949</v>
      </c>
      <c r="E19" s="15" t="n">
        <f aca="false">C19*$B$6</f>
        <v>868.553236056127</v>
      </c>
      <c r="F19" s="14" t="n">
        <f aca="false">C19*$B$5</f>
        <v>107.668283011013</v>
      </c>
      <c r="G19" s="15" t="n">
        <f aca="false">F19*$B$7</f>
        <v>2749.84794810128</v>
      </c>
      <c r="H19" s="15" t="n">
        <f aca="false">E19+G19</f>
        <v>3618.40118415741</v>
      </c>
      <c r="I19" s="15" t="n">
        <f aca="false">H19-D19</f>
        <v>664.512225067922</v>
      </c>
      <c r="J19" s="15" t="n">
        <f aca="false">MIN(E19,MAX(I19,0))</f>
        <v>664.512225067922</v>
      </c>
      <c r="K19" s="15" t="n">
        <f aca="false">D19-E19+J19</f>
        <v>2749.84794810128</v>
      </c>
      <c r="L19" s="16" t="n">
        <f aca="false">IF(F19=0,0,K19/F19)</f>
        <v>25.54</v>
      </c>
      <c r="M19" s="17" t="str">
        <f aca="false">IF(DATE(YEAR(A19)+1,MONTH(A19),DAY(A19))&lt;$B$8,"Long-term","Short-term")</f>
        <v>Long-term</v>
      </c>
      <c r="N19" s="14" t="n">
        <f aca="false">F19*$B$4/$F$25</f>
        <v>107.6654065492</v>
      </c>
      <c r="O19" s="15" t="n">
        <f aca="false">K19*$B$4/$F$25</f>
        <v>2749.77448326656</v>
      </c>
      <c r="P19" s="18" t="n">
        <f aca="false">1/B19</f>
        <v>0.0547045951859956</v>
      </c>
    </row>
    <row r="20" customFormat="false" ht="15" hidden="false" customHeight="false" outlineLevel="0" collapsed="false">
      <c r="A20" s="12" t="n">
        <v>43100</v>
      </c>
      <c r="B20" s="13" t="n">
        <v>18.13</v>
      </c>
      <c r="C20" s="14" t="n">
        <f aca="false">IF($B$9="Equal Shares",$B$10/COUNT($B$14:$B$24),($B$10/$P$25)/B20)</f>
        <v>162.928238228874</v>
      </c>
      <c r="D20" s="15" t="n">
        <f aca="false">C20*B20</f>
        <v>2953.88895908949</v>
      </c>
      <c r="E20" s="15" t="n">
        <f aca="false">C20*$B$6</f>
        <v>875.739280480199</v>
      </c>
      <c r="F20" s="14" t="n">
        <f aca="false">C20*$B$5</f>
        <v>108.559085131899</v>
      </c>
      <c r="G20" s="15" t="n">
        <f aca="false">F20*$B$7</f>
        <v>2772.5990342687</v>
      </c>
      <c r="H20" s="15" t="n">
        <f aca="false">E20+G20</f>
        <v>3648.3383147489</v>
      </c>
      <c r="I20" s="15" t="n">
        <f aca="false">H20-D20</f>
        <v>694.449355659407</v>
      </c>
      <c r="J20" s="15" t="n">
        <f aca="false">MIN(E20,MAX(I20,0))</f>
        <v>694.449355659407</v>
      </c>
      <c r="K20" s="15" t="n">
        <f aca="false">D20-E20+J20</f>
        <v>2772.5990342687</v>
      </c>
      <c r="L20" s="16" t="n">
        <f aca="false">IF(F20=0,0,K20/F20)</f>
        <v>25.54</v>
      </c>
      <c r="M20" s="17" t="str">
        <f aca="false">IF(DATE(YEAR(A20)+1,MONTH(A20),DAY(A20))&lt;$B$8,"Long-term","Short-term")</f>
        <v>Long-term</v>
      </c>
      <c r="N20" s="14" t="n">
        <f aca="false">F20*$B$4/$F$25</f>
        <v>108.556184871449</v>
      </c>
      <c r="O20" s="15" t="n">
        <f aca="false">K20*$B$4/$F$25</f>
        <v>2772.52496161681</v>
      </c>
      <c r="P20" s="18" t="n">
        <f aca="false">1/B20</f>
        <v>0.0551571980143409</v>
      </c>
    </row>
    <row r="21" customFormat="false" ht="15" hidden="false" customHeight="false" outlineLevel="0" collapsed="false">
      <c r="A21" s="12" t="n">
        <v>43312</v>
      </c>
      <c r="B21" s="13" t="n">
        <v>18.6</v>
      </c>
      <c r="C21" s="14" t="n">
        <f aca="false">IF($B$9="Equal Shares",$B$10/COUNT($B$14:$B$24),($B$10/$P$25)/B21)</f>
        <v>158.81123435965</v>
      </c>
      <c r="D21" s="15" t="n">
        <f aca="false">C21*B21</f>
        <v>2953.88895908949</v>
      </c>
      <c r="E21" s="15" t="n">
        <f aca="false">C21*$B$6</f>
        <v>853.610384683119</v>
      </c>
      <c r="F21" s="14" t="n">
        <f aca="false">C21*$B$5</f>
        <v>105.815925453835</v>
      </c>
      <c r="G21" s="15" t="n">
        <f aca="false">F21*$B$7</f>
        <v>2702.53873609094</v>
      </c>
      <c r="H21" s="15" t="n">
        <f aca="false">E21+G21</f>
        <v>3556.14912077406</v>
      </c>
      <c r="I21" s="15" t="n">
        <f aca="false">H21-D21</f>
        <v>602.260161684569</v>
      </c>
      <c r="J21" s="15" t="n">
        <f aca="false">MIN(E21,MAX(I21,0))</f>
        <v>602.260161684569</v>
      </c>
      <c r="K21" s="15" t="n">
        <f aca="false">D21-E21+J21</f>
        <v>2702.53873609094</v>
      </c>
      <c r="L21" s="16" t="n">
        <f aca="false">IF(F21=0,0,K21/F21)</f>
        <v>25.54</v>
      </c>
      <c r="M21" s="17" t="str">
        <f aca="false">IF(DATE(YEAR(A21)+1,MONTH(A21),DAY(A21))&lt;$B$8,"Long-term","Short-term")</f>
        <v>Long-term</v>
      </c>
      <c r="N21" s="14" t="n">
        <f aca="false">F21*$B$4/$F$25</f>
        <v>105.813098479536</v>
      </c>
      <c r="O21" s="15" t="n">
        <f aca="false">K21*$B$4/$F$25</f>
        <v>2702.46653516735</v>
      </c>
      <c r="P21" s="18" t="n">
        <f aca="false">1/B21</f>
        <v>0.0537634408602151</v>
      </c>
    </row>
    <row r="22" customFormat="false" ht="15" hidden="false" customHeight="false" outlineLevel="0" collapsed="false">
      <c r="A22" s="12" t="n">
        <v>43465</v>
      </c>
      <c r="B22" s="13" t="n">
        <v>15.26</v>
      </c>
      <c r="C22" s="14" t="n">
        <f aca="false">IF($B$9="Equal Shares",$B$10/COUNT($B$14:$B$24),($B$10/$P$25)/B22)</f>
        <v>193.570705051736</v>
      </c>
      <c r="D22" s="15" t="n">
        <f aca="false">C22*B22</f>
        <v>2953.88895908949</v>
      </c>
      <c r="E22" s="15" t="n">
        <f aca="false">C22*$B$6</f>
        <v>1040.44253965308</v>
      </c>
      <c r="F22" s="14" t="n">
        <f aca="false">C22*$B$5</f>
        <v>128.976160775972</v>
      </c>
      <c r="G22" s="15" t="n">
        <f aca="false">F22*$B$7</f>
        <v>3294.05114621832</v>
      </c>
      <c r="H22" s="15" t="n">
        <f aca="false">E22+G22</f>
        <v>4334.4936858714</v>
      </c>
      <c r="I22" s="15" t="n">
        <f aca="false">H22-D22</f>
        <v>1380.60472678191</v>
      </c>
      <c r="J22" s="15" t="n">
        <f aca="false">MIN(E22,MAX(I22,0))</f>
        <v>1040.44253965308</v>
      </c>
      <c r="K22" s="15" t="n">
        <f aca="false">D22-E22+J22</f>
        <v>2953.88895908949</v>
      </c>
      <c r="L22" s="16" t="n">
        <f aca="false">IF(F22=0,0,K22/F22)</f>
        <v>22.9025964280354</v>
      </c>
      <c r="M22" s="17" t="str">
        <f aca="false">IF(DATE(YEAR(A22)+1,MONTH(A22),DAY(A22))&lt;$B$8,"Long-term","Short-term")</f>
        <v>Long-term</v>
      </c>
      <c r="N22" s="14" t="n">
        <f aca="false">F22*$B$4/$F$25</f>
        <v>128.972715053694</v>
      </c>
      <c r="O22" s="15" t="n">
        <f aca="false">K22*$B$4/$F$25</f>
        <v>2953.81004310276</v>
      </c>
      <c r="P22" s="18" t="n">
        <f aca="false">1/B22</f>
        <v>0.0655307994757536</v>
      </c>
    </row>
    <row r="23" customFormat="false" ht="15" hidden="false" customHeight="false" outlineLevel="0" collapsed="false">
      <c r="A23" s="12" t="n">
        <v>43677</v>
      </c>
      <c r="B23" s="13" t="n">
        <v>14.21</v>
      </c>
      <c r="C23" s="14" t="n">
        <f aca="false">IF($B$9="Equal Shares",$B$10/COUNT($B$14:$B$24),($B$10/$P$25)/B23)</f>
        <v>207.873959119598</v>
      </c>
      <c r="D23" s="15" t="n">
        <f aca="false">C23*B23</f>
        <v>2953.88895908949</v>
      </c>
      <c r="E23" s="15" t="n">
        <f aca="false">C23*$B$6</f>
        <v>1117.32253026784</v>
      </c>
      <c r="F23" s="14" t="n">
        <f aca="false">C23*$B$5</f>
        <v>138.506418961388</v>
      </c>
      <c r="G23" s="15" t="n">
        <f aca="false">F23*$B$7</f>
        <v>3537.45394027386</v>
      </c>
      <c r="H23" s="15" t="n">
        <f aca="false">E23+G23</f>
        <v>4654.7764705417</v>
      </c>
      <c r="I23" s="15" t="n">
        <f aca="false">H23-D23</f>
        <v>1700.88751145221</v>
      </c>
      <c r="J23" s="15" t="n">
        <f aca="false">MIN(E23,MAX(I23,0))</f>
        <v>1117.32253026784</v>
      </c>
      <c r="K23" s="15" t="n">
        <f aca="false">D23-E23+J23</f>
        <v>2953.88895908949</v>
      </c>
      <c r="L23" s="16" t="n">
        <f aca="false">IF(F23=0,0,K23/F23)</f>
        <v>21.3267297013357</v>
      </c>
      <c r="M23" s="17" t="str">
        <f aca="false">IF(DATE(YEAR(A23)+1,MONTH(A23),DAY(A23))&lt;$B$8,"Long-term","Short-term")</f>
        <v>Short-term</v>
      </c>
      <c r="N23" s="14" t="n">
        <f aca="false">F23*$B$4/$F$25</f>
        <v>138.50271862909</v>
      </c>
      <c r="O23" s="15" t="n">
        <f aca="false">K23*$B$4/$F$25</f>
        <v>2953.81004310276</v>
      </c>
      <c r="P23" s="18" t="n">
        <f aca="false">1/B23</f>
        <v>0.0703729767769177</v>
      </c>
    </row>
    <row r="24" customFormat="false" ht="15" hidden="false" customHeight="false" outlineLevel="0" collapsed="false">
      <c r="A24" s="12" t="n">
        <v>43830</v>
      </c>
      <c r="B24" s="13" t="n">
        <v>22.4</v>
      </c>
      <c r="C24" s="14" t="n">
        <f aca="false">IF($B$9="Equal Shares",$B$10/COUNT($B$14:$B$24),($B$10/$P$25)/B24)</f>
        <v>131.870042816495</v>
      </c>
      <c r="D24" s="15" t="n">
        <f aca="false">C24*B24</f>
        <v>2953.88895908949</v>
      </c>
      <c r="E24" s="15" t="n">
        <f aca="false">C24*$B$6</f>
        <v>708.801480138661</v>
      </c>
      <c r="F24" s="14" t="n">
        <f aca="false">C24*$B$5</f>
        <v>87.8650095286307</v>
      </c>
      <c r="G24" s="15" t="n">
        <f aca="false">F24*$B$7</f>
        <v>2244.07234336123</v>
      </c>
      <c r="H24" s="15" t="n">
        <f aca="false">E24+G24</f>
        <v>2952.87382349989</v>
      </c>
      <c r="I24" s="15" t="n">
        <f aca="false">H24-D24</f>
        <v>-1.01513558960141</v>
      </c>
      <c r="J24" s="15" t="n">
        <f aca="false">MIN(E24,MAX(I24,0))</f>
        <v>0</v>
      </c>
      <c r="K24" s="15" t="n">
        <f aca="false">D24-E24+J24</f>
        <v>2245.08747895083</v>
      </c>
      <c r="L24" s="16" t="n">
        <f aca="false">IF(F24=0,0,K24/F24)</f>
        <v>25.5515533543449</v>
      </c>
      <c r="M24" s="17" t="str">
        <f aca="false">IF(DATE(YEAR(A24)+1,MONTH(A24),DAY(A24))&lt;$B$8,"Long-term","Short-term")</f>
        <v>Short-term</v>
      </c>
      <c r="N24" s="14" t="n">
        <f aca="false">F24*$B$4/$F$25</f>
        <v>87.8626621303291</v>
      </c>
      <c r="O24" s="15" t="n">
        <f aca="false">K24*$B$4/$F$25</f>
        <v>2245.02749927788</v>
      </c>
      <c r="P24" s="18" t="n">
        <f aca="false">1/B24</f>
        <v>0.0446428571428571</v>
      </c>
    </row>
    <row r="25" customFormat="false" ht="15" hidden="false" customHeight="false" outlineLevel="0" collapsed="false">
      <c r="A25" s="19" t="s">
        <v>28</v>
      </c>
      <c r="B25" s="20" t="n">
        <f aca="false">D25/C25</f>
        <v>12.4924177431697</v>
      </c>
      <c r="C25" s="21" t="n">
        <f aca="false">SUM(C14:C24)</f>
        <v>2601</v>
      </c>
      <c r="D25" s="20" t="n">
        <f aca="false">SUM(D14:D24)</f>
        <v>32492.7785499844</v>
      </c>
      <c r="E25" s="20" t="n">
        <f aca="false">SUM(E14:E24)</f>
        <v>13980.375</v>
      </c>
      <c r="F25" s="21" t="n">
        <f aca="false">SUM(F14:F24)</f>
        <v>1733.0463</v>
      </c>
      <c r="G25" s="20" t="n">
        <f aca="false">SUM(G14:G24)</f>
        <v>44262.002502</v>
      </c>
      <c r="H25" s="20" t="n">
        <f aca="false">SUM(H14:H24)</f>
        <v>58242.377502</v>
      </c>
      <c r="I25" s="20" t="n">
        <f aca="false">SUM(I14:I24)</f>
        <v>25749.5989520156</v>
      </c>
      <c r="J25" s="20" t="n">
        <f aca="false">SUM(J14:J24)</f>
        <v>12634.8923610538</v>
      </c>
      <c r="K25" s="20" t="n">
        <f aca="false">SUM(K14:K24)</f>
        <v>31147.2959110382</v>
      </c>
      <c r="L25" s="22" t="n">
        <f aca="false">K25/F25</f>
        <v>17.9725699832937</v>
      </c>
      <c r="M25" s="23"/>
      <c r="N25" s="21" t="n">
        <f aca="false">SUM(N14:N24)</f>
        <v>1733</v>
      </c>
      <c r="O25" s="20" t="n">
        <f aca="false">SUM(O14:O24)</f>
        <v>31146.4637810479</v>
      </c>
      <c r="P25" s="24" t="n">
        <f aca="false">SUM(P14:P24)</f>
        <v>0.88053411486454</v>
      </c>
    </row>
    <row r="26" customFormat="false" ht="15" hidden="false" customHeight="false" outlineLevel="0" collapsed="false">
      <c r="B26" s="25" t="s">
        <v>29</v>
      </c>
    </row>
    <row r="28" customFormat="false" ht="15" hidden="false" customHeight="false" outlineLevel="0" collapsed="false">
      <c r="A28" s="26" t="s">
        <v>30</v>
      </c>
    </row>
    <row r="29" customFormat="false" ht="15" hidden="false" customHeight="false" outlineLevel="0" collapsed="false">
      <c r="A29" s="3" t="s">
        <v>31</v>
      </c>
      <c r="B29" s="27" t="n">
        <f aca="false">D25</f>
        <v>32492.7785499844</v>
      </c>
    </row>
    <row r="30" customFormat="false" ht="15" hidden="false" customHeight="false" outlineLevel="0" collapsed="false">
      <c r="A30" s="3" t="s">
        <v>32</v>
      </c>
      <c r="B30" s="27" t="n">
        <f aca="false">E25</f>
        <v>13980.375</v>
      </c>
    </row>
    <row r="31" customFormat="false" ht="15" hidden="false" customHeight="false" outlineLevel="0" collapsed="false">
      <c r="A31" s="3" t="s">
        <v>33</v>
      </c>
      <c r="B31" s="27" t="n">
        <f aca="false">J25</f>
        <v>12634.8923610538</v>
      </c>
    </row>
    <row r="32" customFormat="false" ht="15" hidden="false" customHeight="false" outlineLevel="0" collapsed="false">
      <c r="A32" s="3" t="s">
        <v>34</v>
      </c>
      <c r="B32" s="28" t="n">
        <f aca="false">F25</f>
        <v>1733.0463</v>
      </c>
    </row>
    <row r="33" customFormat="false" ht="15" hidden="false" customHeight="false" outlineLevel="0" collapsed="false">
      <c r="A33" s="3" t="s">
        <v>35</v>
      </c>
      <c r="B33" s="28" t="n">
        <f aca="false">F25-B4</f>
        <v>0.0463000000002012</v>
      </c>
    </row>
    <row r="34" customFormat="false" ht="15" hidden="false" customHeight="false" outlineLevel="0" collapsed="false">
      <c r="A34" s="3" t="s">
        <v>36</v>
      </c>
      <c r="B34" s="27" t="n">
        <f aca="false">B33*B7</f>
        <v>1.18250200000514</v>
      </c>
    </row>
    <row r="35" customFormat="false" ht="15" hidden="false" customHeight="false" outlineLevel="0" collapsed="false">
      <c r="A35" s="3" t="s">
        <v>37</v>
      </c>
      <c r="B35" s="27" t="n">
        <f aca="false">K25-O25</f>
        <v>0.832129990223621</v>
      </c>
    </row>
    <row r="36" customFormat="false" ht="15" hidden="false" customHeight="false" outlineLevel="0" collapsed="false">
      <c r="A36" s="3" t="s">
        <v>38</v>
      </c>
      <c r="B36" s="27" t="n">
        <f aca="false">B34-B35</f>
        <v>0.350372009781518</v>
      </c>
    </row>
    <row r="37" customFormat="false" ht="15" hidden="false" customHeight="false" outlineLevel="0" collapsed="false">
      <c r="A37" s="29" t="s">
        <v>39</v>
      </c>
      <c r="B37" s="30" t="n">
        <f aca="false">B4</f>
        <v>1733</v>
      </c>
    </row>
    <row r="38" customFormat="false" ht="15" hidden="false" customHeight="false" outlineLevel="0" collapsed="false">
      <c r="A38" s="29" t="s">
        <v>40</v>
      </c>
      <c r="B38" s="31" t="n">
        <f aca="false">O25</f>
        <v>31146.4637810479</v>
      </c>
    </row>
    <row r="39" customFormat="false" ht="15" hidden="false" customHeight="false" outlineLevel="0" collapsed="false">
      <c r="A39" s="29" t="s">
        <v>41</v>
      </c>
      <c r="B39" s="32" t="n">
        <f aca="false">B38/B37</f>
        <v>17.9725699832937</v>
      </c>
    </row>
    <row r="41" customFormat="false" ht="15" hidden="false" customHeight="false" outlineLevel="0" collapsed="false">
      <c r="A41" s="26" t="s">
        <v>42</v>
      </c>
    </row>
    <row r="42" customFormat="false" ht="15" hidden="false" customHeight="false" outlineLevel="0" collapsed="false">
      <c r="A42" s="33" t="s">
        <v>43</v>
      </c>
    </row>
    <row r="43" customFormat="false" ht="15" hidden="false" customHeight="false" outlineLevel="0" collapsed="false">
      <c r="A43" s="33" t="s">
        <v>44</v>
      </c>
    </row>
    <row r="44" customFormat="false" ht="15" hidden="false" customHeight="false" outlineLevel="0" collapsed="false">
      <c r="A44" s="33" t="s">
        <v>45</v>
      </c>
    </row>
    <row r="45" customFormat="false" ht="15" hidden="false" customHeight="false" outlineLevel="0" collapsed="false">
      <c r="A45" s="33" t="s">
        <v>46</v>
      </c>
    </row>
    <row r="46" customFormat="false" ht="15" hidden="false" customHeight="false" outlineLevel="0" collapsed="false">
      <c r="A46" s="33" t="s">
        <v>47</v>
      </c>
    </row>
    <row r="47" customFormat="false" ht="15" hidden="false" customHeight="false" outlineLevel="0" collapsed="false">
      <c r="A47" s="33" t="s">
        <v>48</v>
      </c>
    </row>
    <row r="48" customFormat="false" ht="15" hidden="false" customHeight="false" outlineLevel="0" collapsed="false">
      <c r="A48" s="33" t="s">
        <v>49</v>
      </c>
    </row>
    <row r="49" customFormat="false" ht="15" hidden="false" customHeight="false" outlineLevel="0" collapsed="false">
      <c r="A49" s="33" t="s">
        <v>50</v>
      </c>
    </row>
  </sheetData>
  <dataValidations count="1">
    <dataValidation allowBlank="false" errorStyle="stop" operator="between" showDropDown="false" showErrorMessage="false" showInputMessage="false" sqref="B9" type="list">
      <formula1>"Equal Dollars,Equal Shares"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2026-10-16T15:26:28Z</dcterms:created>
  <dc:creator>openpyxl</dc:creator>
  <dc:description/>
  <dc:language>en-US</dc:language>
  <cp:lastModifiedBy/>
  <dcterms:modified xsi:type="dcterms:W3CDTF">2026-10-16T15:26:28Z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