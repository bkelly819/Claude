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ital Gains Tax Calculator" sheetId="1" state="visible" r:id="rId1"/>
    <sheet name="Tax Rates &amp; Assumptions" sheetId="2" state="visible" r:id="rId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;($#,##0)"/>
    <numFmt numFmtId="166" formatCode="&quot;Total Capital Gains Tax You Will Pay: &quot;$#,##0"/>
  </numFmts>
  <fonts count="2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9.5"/>
    </font>
    <font>
      <name val="Arial"/>
      <b val="1"/>
      <color rgb="00FFFFFF"/>
      <sz val="11"/>
    </font>
    <font>
      <name val="Arial"/>
      <b val="1"/>
      <color rgb="00595959"/>
      <sz val="9"/>
    </font>
    <font>
      <name val="Arial"/>
      <color rgb="000000FF"/>
      <sz val="9"/>
    </font>
    <font>
      <name val="Arial"/>
      <color rgb="00595959"/>
      <sz val="8"/>
    </font>
    <font>
      <name val="Arial"/>
      <color rgb="00000000"/>
      <sz val="9"/>
    </font>
    <font>
      <name val="Arial"/>
      <color rgb="000000FF"/>
      <sz val="10"/>
    </font>
    <font>
      <name val="Arial"/>
      <color rgb="00000000"/>
      <sz val="10"/>
    </font>
    <font>
      <name val="Arial"/>
      <i val="1"/>
      <color rgb="00595959"/>
      <sz val="8.5"/>
    </font>
    <font>
      <name val="Arial"/>
      <b val="1"/>
      <color rgb="00C00000"/>
      <sz val="11"/>
    </font>
    <font>
      <name val="Arial"/>
      <color rgb="00000000"/>
      <sz val="9.5"/>
    </font>
    <font>
      <name val="Arial"/>
      <b val="1"/>
      <color rgb="00FFFFFF"/>
      <sz val="17"/>
    </font>
    <font>
      <name val="Arial"/>
      <i val="1"/>
      <color rgb="00C00000"/>
      <sz val="9"/>
    </font>
    <font>
      <name val="Arial"/>
      <b val="1"/>
      <color rgb="00000000"/>
      <sz val="10"/>
    </font>
    <font>
      <name val="Arial"/>
      <b val="1"/>
      <color rgb="002E5395"/>
      <sz val="9.5"/>
    </font>
    <font>
      <name val="Arial"/>
      <b val="1"/>
      <color rgb="001F3864"/>
      <sz val="20"/>
    </font>
    <font>
      <name val="Arial"/>
      <b val="1"/>
      <color rgb="00BF8F00"/>
      <sz val="10"/>
    </font>
    <font>
      <name val="Arial"/>
      <i val="1"/>
      <color rgb="00C00000"/>
      <sz val="8.5"/>
    </font>
    <font>
      <name val="Arial"/>
      <i val="1"/>
      <color rgb="00595959"/>
      <sz val="9"/>
    </font>
    <font>
      <name val="Arial"/>
      <b val="1"/>
      <color rgb="00595959"/>
      <sz val="10"/>
    </font>
    <font>
      <name val="Arial"/>
      <color rgb="00000000"/>
      <sz val="8"/>
    </font>
    <font>
      <name val="Arial"/>
      <b val="1"/>
      <color rgb="00595959"/>
      <sz val="8"/>
    </font>
    <font>
      <name val="Arial"/>
      <color rgb="00595959"/>
      <sz val="9"/>
    </font>
    <font>
      <name val="Arial"/>
      <b val="1"/>
      <color rgb="00000000"/>
      <sz val="9.5"/>
    </font>
    <font>
      <name val="Arial"/>
      <b val="1"/>
      <color rgb="001F3864"/>
      <sz val="10"/>
    </font>
    <font>
      <name val="Arial"/>
      <b val="1"/>
      <color rgb="001F3864"/>
      <sz val="11"/>
    </font>
  </fonts>
  <fills count="7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5395"/>
        <bgColor rgb="002E5395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0" pivotButton="0" quotePrefix="0" xfId="0"/>
    <xf numFmtId="0" fontId="6" fillId="0" borderId="0" pivotButton="0" quotePrefix="0" xfId="0"/>
    <xf numFmtId="164" fontId="5" fillId="5" borderId="0" pivotButton="0" quotePrefix="0" xfId="0"/>
    <xf numFmtId="165" fontId="5" fillId="5" borderId="0" pivotButton="0" quotePrefix="0" xfId="0"/>
    <xf numFmtId="165" fontId="7" fillId="0" borderId="0" pivotButton="0" quotePrefix="0" xfId="0"/>
    <xf numFmtId="0" fontId="8" fillId="5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left"/>
    </xf>
    <xf numFmtId="165" fontId="8" fillId="5" borderId="1" applyAlignment="1" pivotButton="0" quotePrefix="0" xfId="0">
      <alignment horizontal="right" vertical="center"/>
    </xf>
    <xf numFmtId="10" fontId="8" fillId="5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left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wrapText="1"/>
    </xf>
    <xf numFmtId="0" fontId="11" fillId="5" borderId="0" applyAlignment="1" pivotButton="0" quotePrefix="0" xfId="0">
      <alignment horizontal="left" vertical="top" wrapText="1"/>
    </xf>
    <xf numFmtId="0" fontId="0" fillId="5" borderId="0" pivotButton="0" quotePrefix="0" xfId="0"/>
    <xf numFmtId="0" fontId="12" fillId="0" borderId="0" applyAlignment="1" pivotButton="0" quotePrefix="0" xfId="0">
      <alignment vertical="top" wrapText="1"/>
    </xf>
    <xf numFmtId="0" fontId="13" fillId="2" borderId="0" applyAlignment="1" pivotButton="0" quotePrefix="0" xfId="0">
      <alignment horizontal="left" vertical="center" indent="1"/>
    </xf>
    <xf numFmtId="0" fontId="14" fillId="0" borderId="0" pivotButton="0" quotePrefix="0" xfId="0"/>
    <xf numFmtId="0" fontId="15" fillId="0" borderId="0" applyAlignment="1" pivotButton="0" quotePrefix="0" xfId="0">
      <alignment horizontal="left" vertical="center"/>
    </xf>
    <xf numFmtId="0" fontId="16" fillId="0" borderId="0" pivotButton="0" quotePrefix="0" xfId="0"/>
    <xf numFmtId="166" fontId="17" fillId="6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vertical="top" wrapText="1"/>
    </xf>
    <xf numFmtId="0" fontId="20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10" fontId="24" fillId="0" borderId="0" pivotButton="0" quotePrefix="0" xfId="0"/>
    <xf numFmtId="165" fontId="24" fillId="0" borderId="0" pivotButton="0" quotePrefix="0" xfId="0"/>
    <xf numFmtId="0" fontId="12" fillId="0" borderId="0" applyAlignment="1" pivotButton="0" quotePrefix="0" xfId="0">
      <alignment horizontal="left" vertical="center"/>
    </xf>
    <xf numFmtId="165" fontId="12" fillId="0" borderId="0" applyAlignment="1" pivotButton="0" quotePrefix="0" xfId="0">
      <alignment horizontal="right"/>
    </xf>
    <xf numFmtId="10" fontId="12" fillId="0" borderId="0" applyAlignment="1" pivotButton="0" quotePrefix="0" xfId="0">
      <alignment horizontal="right"/>
    </xf>
    <xf numFmtId="0" fontId="25" fillId="0" borderId="0" applyAlignment="1" pivotButton="0" quotePrefix="0" xfId="0">
      <alignment horizontal="left" vertical="center"/>
    </xf>
    <xf numFmtId="165" fontId="26" fillId="6" borderId="1" applyAlignment="1" pivotButton="0" quotePrefix="0" xfId="0">
      <alignment horizontal="right" vertical="center"/>
    </xf>
    <xf numFmtId="164" fontId="12" fillId="0" borderId="0" applyAlignment="1" pivotButton="0" quotePrefix="0" xfId="0">
      <alignment horizontal="right"/>
    </xf>
    <xf numFmtId="164" fontId="9" fillId="0" borderId="0" applyAlignment="1" pivotButton="0" quotePrefix="0" xfId="0">
      <alignment horizontal="right" vertical="center"/>
    </xf>
    <xf numFmtId="165" fontId="15" fillId="0" borderId="0" applyAlignment="1" pivotButton="0" quotePrefix="0" xfId="0">
      <alignment horizontal="right" vertical="center"/>
    </xf>
    <xf numFmtId="165" fontId="27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2" customWidth="1" min="1" max="1"/>
    <col width="20" customWidth="1" min="2" max="2"/>
    <col width="14" customWidth="1" min="3" max="3"/>
    <col width="3" customWidth="1" min="4" max="4"/>
    <col width="20" customWidth="1" min="5" max="5"/>
    <col width="14" customWidth="1" min="6" max="6"/>
    <col width="3" customWidth="1" min="7" max="7"/>
    <col width="20" customWidth="1" min="8" max="8"/>
    <col width="14" customWidth="1" min="9" max="9"/>
    <col width="2" customWidth="1" min="10" max="10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 ht="28" customHeight="1">
      <c r="A1" s="21" t="inlineStr">
        <is>
          <t>CAPITAL GAINS TAX CALCULATOR</t>
        </is>
      </c>
    </row>
    <row r="2">
      <c r="A2" s="22" t="inlineStr">
        <is>
          <t>Estimated for planning purposes only - not tax, legal, or accounting advice.</t>
        </is>
      </c>
    </row>
    <row r="4">
      <c r="B4" s="23" t="inlineStr">
        <is>
          <t>Initial Value</t>
        </is>
      </c>
      <c r="E4" s="23" t="inlineStr">
        <is>
          <t>Sale Value</t>
        </is>
      </c>
      <c r="H4" s="23" t="inlineStr">
        <is>
          <t>Length of Ownership</t>
        </is>
      </c>
    </row>
    <row r="5">
      <c r="C5" s="13" t="n">
        <v>10000</v>
      </c>
      <c r="F5" s="13" t="n">
        <v>50000</v>
      </c>
      <c r="I5" s="12" t="inlineStr">
        <is>
          <t>More than a year</t>
        </is>
      </c>
    </row>
    <row r="7">
      <c r="B7" s="23" t="inlineStr">
        <is>
          <t>Location (State)</t>
        </is>
      </c>
      <c r="E7" s="23" t="inlineStr">
        <is>
          <t>Annual Income</t>
        </is>
      </c>
      <c r="H7" s="23" t="inlineStr">
        <is>
          <t>Filing Status</t>
        </is>
      </c>
    </row>
    <row r="8">
      <c r="C8" s="12" t="inlineStr">
        <is>
          <t>New Jersey</t>
        </is>
      </c>
      <c r="F8" s="13" t="n">
        <v>200000</v>
      </c>
      <c r="I8" s="12" t="inlineStr">
        <is>
          <t>Married Filing Jointly</t>
        </is>
      </c>
    </row>
    <row r="9">
      <c r="B9" s="16" t="inlineStr">
        <is>
          <t>Tax Year</t>
        </is>
      </c>
    </row>
    <row r="10">
      <c r="C10" s="12" t="n">
        <v>2025</v>
      </c>
    </row>
    <row r="12">
      <c r="B12" s="24" t="inlineStr">
        <is>
          <t>ADVANCED (optional - click the [+] in the row-number margin to expand)</t>
        </is>
      </c>
    </row>
    <row r="13" hidden="1" outlineLevel="1" collapsed="1">
      <c r="B13" s="16" t="inlineStr">
        <is>
          <t>401(k) Contribution</t>
        </is>
      </c>
      <c r="E13" s="16" t="inlineStr">
        <is>
          <t>IRA Contribution</t>
        </is>
      </c>
      <c r="H13" s="16" t="inlineStr">
        <is>
          <t>Itemized Deductions</t>
        </is>
      </c>
    </row>
    <row r="14" hidden="1" outlineLevel="1">
      <c r="C14" s="13" t="n">
        <v>0</v>
      </c>
      <c r="F14" s="13" t="n">
        <v>0</v>
      </c>
      <c r="I14" s="13" t="n">
        <v>0</v>
      </c>
    </row>
    <row r="15" hidden="1" outlineLevel="1">
      <c r="B15" s="16" t="inlineStr">
        <is>
          <t>Number of Personal Exemptions (state only)</t>
        </is>
      </c>
      <c r="E15" s="16" t="inlineStr">
        <is>
          <t>Locality / City (optional)</t>
        </is>
      </c>
    </row>
    <row r="16" hidden="1" outlineLevel="1">
      <c r="C16" s="11" t="n">
        <v>0</v>
      </c>
      <c r="F16" s="12" t="inlineStr">
        <is>
          <t>None / Not Applicable</t>
        </is>
      </c>
    </row>
    <row r="18" ht="20" customHeight="1">
      <c r="B18" s="25">
        <f>C63</f>
        <v/>
      </c>
    </row>
    <row r="19" ht="20" customHeight="1"/>
    <row r="21" ht="18" customHeight="1">
      <c r="A21" s="3" t="inlineStr">
        <is>
          <t>YOUR CAPITAL GAINS TAXES</t>
        </is>
      </c>
      <c r="B21" s="4" t="n"/>
      <c r="C21" s="4" t="n"/>
      <c r="D21" s="4" t="n"/>
      <c r="E21" s="4" t="n"/>
      <c r="F21" s="4" t="n"/>
      <c r="G21" s="4" t="n"/>
      <c r="H21" s="4" t="n"/>
    </row>
    <row r="22">
      <c r="B22" s="5" t="inlineStr">
        <is>
          <t>Tax Type</t>
        </is>
      </c>
      <c r="D22" s="5" t="inlineStr">
        <is>
          <t>Marginal Tax Rate</t>
        </is>
      </c>
      <c r="F22" s="5" t="inlineStr">
        <is>
          <t>Effective Tax Rate</t>
        </is>
      </c>
      <c r="H22" s="5" t="inlineStr">
        <is>
          <t>Tax Amount</t>
        </is>
      </c>
    </row>
    <row r="23">
      <c r="B23" s="23" t="inlineStr">
        <is>
          <t>Federal</t>
        </is>
      </c>
      <c r="D23" s="40">
        <f>C64</f>
        <v/>
      </c>
      <c r="F23" s="40">
        <f>C65</f>
        <v/>
      </c>
      <c r="H23" s="41">
        <f>C56</f>
        <v/>
      </c>
    </row>
    <row r="24">
      <c r="B24" s="23" t="inlineStr">
        <is>
          <t>State</t>
        </is>
      </c>
      <c r="D24" s="40">
        <f>C66</f>
        <v/>
      </c>
      <c r="F24" s="40">
        <f>C67</f>
        <v/>
      </c>
      <c r="H24" s="41">
        <f>C61</f>
        <v/>
      </c>
    </row>
    <row r="25">
      <c r="B25" s="23" t="inlineStr">
        <is>
          <t>Local</t>
        </is>
      </c>
      <c r="D25" s="40">
        <f>C42</f>
        <v/>
      </c>
      <c r="F25" s="40">
        <f>C68</f>
        <v/>
      </c>
      <c r="H25" s="41">
        <f>C62</f>
        <v/>
      </c>
    </row>
    <row r="26">
      <c r="B26" s="26" t="inlineStr">
        <is>
          <t>Total Estimated Tax</t>
        </is>
      </c>
      <c r="H26" s="42">
        <f>C63</f>
        <v/>
      </c>
    </row>
    <row r="28">
      <c r="B28" s="27" t="inlineStr">
        <is>
          <t>Estimated for financial-planning purposes only. This calculator is not tax, legal, or accounting advice. Actual tax liability may differ based on individual circumstances, deductions, credits, tax elections, state/local rules, and other factors. Consult a qualified tax professional before making tax-related decisions. "Federal" includes the Net Investment Income Tax (3.8%) where applicable.</t>
        </is>
      </c>
    </row>
    <row r="29"/>
    <row r="30"/>
    <row r="32">
      <c r="B32" s="28" t="inlineStr">
        <is>
          <t>Full calculation detail is available below for your advisor. Click the [+] in the row-number margin to expand.</t>
        </is>
      </c>
    </row>
    <row r="34" hidden="1" outlineLevel="1" collapsed="1">
      <c r="A34" s="29" t="inlineStr">
        <is>
          <t>CALCULATION DETAIL (grouped - click + to expand)</t>
        </is>
      </c>
    </row>
    <row r="35" hidden="1" outlineLevel="1"/>
    <row r="36" hidden="1" outlineLevel="1">
      <c r="B36" s="34" t="inlineStr">
        <is>
          <t>Standard Deduction (add-back for MAGI estimate)</t>
        </is>
      </c>
      <c r="C36" s="35">
        <f>INDEX('Tax Rates &amp; Assumptions'!$D$28:$D$35,L42)</f>
        <v/>
      </c>
      <c r="K36" s="7" t="inlineStr">
        <is>
          <t>Filing Status</t>
        </is>
      </c>
      <c r="L36" s="30">
        <f>I8</f>
        <v/>
      </c>
    </row>
    <row r="37" hidden="1" outlineLevel="1">
      <c r="B37" s="34" t="inlineStr">
        <is>
          <t>Capital Loss Limit vs. Ordinary Income</t>
        </is>
      </c>
      <c r="C37" s="35">
        <f>INDEX('Tax Rates &amp; Assumptions'!$D$39:$D$42,L41)</f>
        <v/>
      </c>
      <c r="K37" s="7" t="inlineStr">
        <is>
          <t>Tax Year</t>
        </is>
      </c>
      <c r="L37" s="30">
        <f>C10</f>
        <v/>
      </c>
    </row>
    <row r="38" hidden="1" outlineLevel="1">
      <c r="B38" s="34" t="inlineStr">
        <is>
          <t>NIIT Threshold</t>
        </is>
      </c>
      <c r="C38" s="35">
        <f>INDEX('Tax Rates &amp; Assumptions'!$B$39:$B$42,L41)</f>
        <v/>
      </c>
      <c r="K38" s="7" t="inlineStr">
        <is>
          <t>Federal Key</t>
        </is>
      </c>
      <c r="L38" s="30">
        <f>L37&amp;"|"&amp;L36</f>
        <v/>
      </c>
    </row>
    <row r="39" hidden="1" outlineLevel="1">
      <c r="B39" s="34" t="inlineStr">
        <is>
          <t>NIIT Rate</t>
        </is>
      </c>
      <c r="C39" s="36">
        <f>INDEX('Tax Rates &amp; Assumptions'!$C$39:$C$42,L41)</f>
        <v/>
      </c>
      <c r="K39" s="7" t="inlineStr">
        <is>
          <t>Fed Bracket Row#</t>
        </is>
      </c>
      <c r="L39" s="30">
        <f>MATCH(L38,'Tax Rates &amp; Assumptions'!$C$6:$C$13,0)</f>
        <v/>
      </c>
    </row>
    <row r="40" hidden="1" outlineLevel="1">
      <c r="B40" s="34" t="inlineStr">
        <is>
          <t>State Standard Deduction</t>
        </is>
      </c>
      <c r="C40" s="35">
        <f>IF(L45="MFJ",INDEX('Tax Rates &amp; Assumptions'!$E$46:$E$77,L48),INDEX('Tax Rates &amp; Assumptions'!$D$46:$D$77,L48))</f>
        <v/>
      </c>
      <c r="K40" s="7" t="inlineStr">
        <is>
          <t>LTCG Bracket Row#</t>
        </is>
      </c>
      <c r="L40" s="30">
        <f>MATCH(L38,'Tax Rates &amp; Assumptions'!$C$17:$C$24,0)</f>
        <v/>
      </c>
    </row>
    <row r="41" hidden="1" outlineLevel="1">
      <c r="B41" s="34" t="inlineStr">
        <is>
          <t>Personal Exemption Amount (per exemption, state)</t>
        </is>
      </c>
      <c r="C41" s="35">
        <f>INDEX('Tax Rates &amp; Assumptions'!$C$164:$C$164,1)</f>
        <v/>
      </c>
      <c r="K41" s="7" t="inlineStr">
        <is>
          <t>Status Row# (NIIT/CapLoss)</t>
        </is>
      </c>
      <c r="L41" s="30">
        <f>MATCH(L36,'Tax Rates &amp; Assumptions'!$A$39:$A$42,0)</f>
        <v/>
      </c>
    </row>
    <row r="42" hidden="1" outlineLevel="1">
      <c r="B42" s="34" t="inlineStr">
        <is>
          <t>Local Tax Rate</t>
        </is>
      </c>
      <c r="C42" s="36">
        <f>IF(L50=0,0,INDEX('Tax Rates &amp; Assumptions'!$D$148:$D$161,L50))</f>
        <v/>
      </c>
      <c r="K42" s="7" t="inlineStr">
        <is>
          <t>StdDed Row#</t>
        </is>
      </c>
      <c r="L42" s="30">
        <f>MATCH(L38,'Tax Rates &amp; Assumptions'!$C$28:$C$35,0)</f>
        <v/>
      </c>
    </row>
    <row r="43" hidden="1" outlineLevel="1">
      <c r="B43" s="34" t="inlineStr">
        <is>
          <t>Capital Gain / (Loss) on Sale</t>
        </is>
      </c>
      <c r="C43" s="35">
        <f>(F5-C5)</f>
        <v/>
      </c>
      <c r="K43" s="7" t="inlineStr">
        <is>
          <t>State Name</t>
        </is>
      </c>
      <c r="L43" s="30">
        <f>C8</f>
        <v/>
      </c>
    </row>
    <row r="44" hidden="1" outlineLevel="1">
      <c r="B44" s="34" t="inlineStr">
        <is>
          <t>Is Long-Term?</t>
        </is>
      </c>
      <c r="C44" s="35">
        <f>IF(I5="More than a year",1,0)</f>
        <v/>
      </c>
      <c r="K44" s="7" t="inlineStr">
        <is>
          <t>State Code</t>
        </is>
      </c>
      <c r="L44" s="30">
        <f>INDEX('Tax Rates &amp; Assumptions'!$A$46:$A$77,MATCH(L43,'Tax Rates &amp; Assumptions'!$B$46:$B$77,0))</f>
        <v/>
      </c>
    </row>
    <row r="45" hidden="1" outlineLevel="1">
      <c r="B45" s="34" t="inlineStr">
        <is>
          <t>Ordinary-Taxed Portion (short-term gain, or loss deduction capped)</t>
        </is>
      </c>
      <c r="C45" s="35">
        <f>IF(C43&gt;=0,IF(C44=1,0,C43),MAX(C43,-C37))</f>
        <v/>
      </c>
      <c r="K45" s="7" t="inlineStr">
        <is>
          <t>State Category</t>
        </is>
      </c>
      <c r="L45" s="30">
        <f>IF(L36="Married Filing Jointly","MFJ","Single")</f>
        <v/>
      </c>
    </row>
    <row r="46" hidden="1" outlineLevel="1">
      <c r="B46" s="34" t="inlineStr">
        <is>
          <t>Preferential-Rate Portion (long-term gain)</t>
        </is>
      </c>
      <c r="C46" s="35">
        <f>IF(C43&gt;=0,IF(C44=1,C43,0),0)</f>
        <v/>
      </c>
      <c r="K46" s="7" t="inlineStr">
        <is>
          <t>State Key</t>
        </is>
      </c>
      <c r="L46" s="30">
        <f>L44&amp;"|"&amp;L45</f>
        <v/>
      </c>
    </row>
    <row r="47" hidden="1" outlineLevel="1">
      <c r="B47" s="34" t="inlineStr">
        <is>
          <t>Taxable Income Before the Gain</t>
        </is>
      </c>
      <c r="C47" s="35">
        <f>MAX(0,F8-C14-F14-MAX(I14,INDEX('Tax Rates &amp; Assumptions'!$D$28:$D$35,L42)))</f>
        <v/>
      </c>
      <c r="K47" s="7" t="inlineStr">
        <is>
          <t>State Bracket Row#</t>
        </is>
      </c>
      <c r="L47" s="30">
        <f>MATCH(L46,'Tax Rates &amp; Assumptions'!$C$81:$C$144,0)</f>
        <v/>
      </c>
    </row>
    <row r="48" hidden="1" outlineLevel="1">
      <c r="B48" s="34" t="inlineStr">
        <is>
          <t>Taxable Income Including the Gain</t>
        </is>
      </c>
      <c r="C48" s="35">
        <f>MAX(0,C47+C45)</f>
        <v/>
      </c>
      <c r="K48" s="7" t="inlineStr">
        <is>
          <t>State Master Row#</t>
        </is>
      </c>
      <c r="L48" s="30">
        <f>MATCH(L44,'Tax Rates &amp; Assumptions'!$A$46:$A$77,0)</f>
        <v/>
      </c>
    </row>
    <row r="49" hidden="1" outlineLevel="1">
      <c r="B49" s="34" t="inlineStr">
        <is>
          <t>Federal Tax on Income Alone (no gain)</t>
        </is>
      </c>
      <c r="C49" s="35">
        <f>SUMPRODUCT((C47&gt;$M$53:$M$59)*($L$53:$L$59)*(MIN(C47,$N$53:$N$59)-$M$53:$M$59))</f>
        <v/>
      </c>
      <c r="K49" s="7" t="inlineStr">
        <is>
          <t>Locality Name</t>
        </is>
      </c>
      <c r="L49" s="30">
        <f>F16</f>
        <v/>
      </c>
    </row>
    <row r="50" hidden="1" outlineLevel="1">
      <c r="B50" s="34" t="inlineStr">
        <is>
          <t>Federal Tax on Income Including the Gain</t>
        </is>
      </c>
      <c r="C50" s="35">
        <f>SUMPRODUCT((C48&gt;$M$53:$M$59)*($L$53:$L$59)*(MIN(C48,$N$53:$N$59)-$M$53:$M$59))</f>
        <v/>
      </c>
      <c r="K50" s="7" t="inlineStr">
        <is>
          <t>Locality Row#</t>
        </is>
      </c>
      <c r="L50" s="30">
        <f>IFERROR(MATCH(L49,'Tax Rates &amp; Assumptions'!$B$148:$B$161,0),0)</f>
        <v/>
      </c>
    </row>
    <row r="51" hidden="1" outlineLevel="1">
      <c r="B51" s="34" t="inlineStr">
        <is>
          <t>Federal Tax on Ordinary Portion of the Gain</t>
        </is>
      </c>
      <c r="C51" s="35">
        <f>C50-C49</f>
        <v/>
      </c>
    </row>
    <row r="52" hidden="1" outlineLevel="1">
      <c r="B52" s="34" t="inlineStr">
        <is>
          <t>Federal Tax on Preferential (Long-Term) Portion (stacked)</t>
        </is>
      </c>
      <c r="C52" s="35">
        <f>SUMPRODUCT($L$62:$L$64*(MAX(0,MIN((C48+C46),$N$62:$N$64)-MAX(C48,$M$62:$M$64))))</f>
        <v/>
      </c>
      <c r="K52" s="31" t="inlineStr">
        <is>
          <t>Federal Ordinary Brackets</t>
        </is>
      </c>
    </row>
    <row r="53" hidden="1" outlineLevel="1">
      <c r="B53" s="34" t="inlineStr">
        <is>
          <t>MAGI Estimate (Taxable Income + Std. Ded. Add-Back + Net Gain)</t>
        </is>
      </c>
      <c r="C53" s="35">
        <f>(C47+C36+C45+C46)</f>
        <v/>
      </c>
      <c r="L53" s="32">
        <f>INDEX('Tax Rates &amp; Assumptions'!D$6:D$1005,L39)</f>
        <v/>
      </c>
      <c r="M53" s="33">
        <f>INDEX('Tax Rates &amp; Assumptions'!E$6:E$1005,L39)</f>
        <v/>
      </c>
      <c r="N53" s="33">
        <f>INDEX('Tax Rates &amp; Assumptions'!F$6:F$1005,L39)</f>
        <v/>
      </c>
    </row>
    <row r="54" hidden="1" outlineLevel="1">
      <c r="B54" s="34" t="inlineStr">
        <is>
          <t>Net Investment Income (the modeled gain)</t>
        </is>
      </c>
      <c r="C54" s="35">
        <f>MAX(0,C45+C46)</f>
        <v/>
      </c>
      <c r="L54" s="32">
        <f>INDEX('Tax Rates &amp; Assumptions'!G$6:G$1005,L39)</f>
        <v/>
      </c>
      <c r="M54" s="33">
        <f>INDEX('Tax Rates &amp; Assumptions'!H$6:H$1005,L39)</f>
        <v/>
      </c>
      <c r="N54" s="33">
        <f>INDEX('Tax Rates &amp; Assumptions'!I$6:I$1005,L39)</f>
        <v/>
      </c>
    </row>
    <row r="55" hidden="1" outlineLevel="1">
      <c r="B55" s="34" t="inlineStr">
        <is>
          <t>NIIT</t>
        </is>
      </c>
      <c r="C55" s="35">
        <f>C39*MIN(C54,MAX(0,C53-C38))</f>
        <v/>
      </c>
      <c r="L55" s="32">
        <f>INDEX('Tax Rates &amp; Assumptions'!J$6:J$1005,L39)</f>
        <v/>
      </c>
      <c r="M55" s="33">
        <f>INDEX('Tax Rates &amp; Assumptions'!K$6:K$1005,L39)</f>
        <v/>
      </c>
      <c r="N55" s="33">
        <f>INDEX('Tax Rates &amp; Assumptions'!L$6:L$1005,L39)</f>
        <v/>
      </c>
    </row>
    <row r="56" hidden="1" outlineLevel="1">
      <c r="B56" s="37" t="inlineStr">
        <is>
          <t>Total Federal Tax From the Gain (incl. NIIT)</t>
        </is>
      </c>
      <c r="C56" s="35">
        <f>(C51+C52+C55)</f>
        <v/>
      </c>
      <c r="L56" s="32">
        <f>INDEX('Tax Rates &amp; Assumptions'!M$6:M$1005,L39)</f>
        <v/>
      </c>
      <c r="M56" s="33">
        <f>INDEX('Tax Rates &amp; Assumptions'!N$6:N$1005,L39)</f>
        <v/>
      </c>
      <c r="N56" s="33">
        <f>INDEX('Tax Rates &amp; Assumptions'!O$6:O$1005,L39)</f>
        <v/>
      </c>
    </row>
    <row r="57" hidden="1" outlineLevel="1">
      <c r="B57" s="34" t="inlineStr">
        <is>
          <t>State Taxable Income Before the Gain</t>
        </is>
      </c>
      <c r="C57" s="35">
        <f>MAX(0,C47-C40-C16*C41)</f>
        <v/>
      </c>
      <c r="L57" s="32">
        <f>INDEX('Tax Rates &amp; Assumptions'!P$6:P$1005,L39)</f>
        <v/>
      </c>
      <c r="M57" s="33">
        <f>INDEX('Tax Rates &amp; Assumptions'!Q$6:Q$1005,L39)</f>
        <v/>
      </c>
      <c r="N57" s="33">
        <f>INDEX('Tax Rates &amp; Assumptions'!R$6:R$1005,L39)</f>
        <v/>
      </c>
    </row>
    <row r="58" hidden="1" outlineLevel="1">
      <c r="B58" s="34" t="inlineStr">
        <is>
          <t>State Taxable Income Including the Gain</t>
        </is>
      </c>
      <c r="C58" s="35">
        <f>MAX(0,C47+C45+C46-C40-C16*C41)</f>
        <v/>
      </c>
      <c r="L58" s="32">
        <f>INDEX('Tax Rates &amp; Assumptions'!S$6:S$1005,L39)</f>
        <v/>
      </c>
      <c r="M58" s="33">
        <f>INDEX('Tax Rates &amp; Assumptions'!T$6:T$1005,L39)</f>
        <v/>
      </c>
      <c r="N58" s="33">
        <f>INDEX('Tax Rates &amp; Assumptions'!U$6:U$1005,L39)</f>
        <v/>
      </c>
    </row>
    <row r="59" hidden="1" outlineLevel="1">
      <c r="B59" s="34" t="inlineStr">
        <is>
          <t>State Tax on Income Alone</t>
        </is>
      </c>
      <c r="C59" s="35">
        <f>IF(L44="OTHER",0,SUMPRODUCT((C57&gt;$M$67:$M$74)*($L$67:$L$74)*(MIN(C57,$N$67:$N$74)-$M$67:$M$74)))</f>
        <v/>
      </c>
      <c r="L59" s="32">
        <f>INDEX('Tax Rates &amp; Assumptions'!V$6:V$1005,L39)</f>
        <v/>
      </c>
      <c r="M59" s="33">
        <f>INDEX('Tax Rates &amp; Assumptions'!W$6:W$1005,L39)</f>
        <v/>
      </c>
      <c r="N59" s="33">
        <f>INDEX('Tax Rates &amp; Assumptions'!X$6:X$1005,L39)</f>
        <v/>
      </c>
    </row>
    <row r="60" hidden="1" outlineLevel="1">
      <c r="B60" s="34" t="inlineStr">
        <is>
          <t>State Tax on Income Including the Gain</t>
        </is>
      </c>
      <c r="C60" s="35">
        <f>IF(L44="OTHER",0,SUMPRODUCT((C58&gt;$M$67:$M$74)*($L$67:$L$74)*(MIN(C58,$N$67:$N$74)-$M$67:$M$74)))</f>
        <v/>
      </c>
    </row>
    <row r="61" hidden="1" outlineLevel="1">
      <c r="B61" s="37" t="inlineStr">
        <is>
          <t>State Tax From the Gain</t>
        </is>
      </c>
      <c r="C61" s="35">
        <f>(C60-C59)</f>
        <v/>
      </c>
      <c r="K61" s="31" t="inlineStr">
        <is>
          <t>LTCG Brackets</t>
        </is>
      </c>
    </row>
    <row r="62" hidden="1" outlineLevel="1">
      <c r="B62" s="37" t="inlineStr">
        <is>
          <t>Local Tax From the Gain</t>
        </is>
      </c>
      <c r="C62" s="35">
        <f>C42*MAX(0,C43)</f>
        <v/>
      </c>
      <c r="L62" s="32">
        <f>INDEX('Tax Rates &amp; Assumptions'!D$17:D$1016,L40)</f>
        <v/>
      </c>
      <c r="M62" s="33">
        <f>INDEX('Tax Rates &amp; Assumptions'!E$17:E$1016,L40)</f>
        <v/>
      </c>
      <c r="N62" s="33">
        <f>INDEX('Tax Rates &amp; Assumptions'!F$17:F$1016,L40)</f>
        <v/>
      </c>
    </row>
    <row r="63" hidden="1" outlineLevel="1">
      <c r="B63" s="23" t="inlineStr">
        <is>
          <t>Total Estimated Tax</t>
        </is>
      </c>
      <c r="C63" s="38">
        <f>(C56+C61+C62)</f>
        <v/>
      </c>
      <c r="L63" s="32">
        <f>INDEX('Tax Rates &amp; Assumptions'!G$17:G$1016,L40)</f>
        <v/>
      </c>
      <c r="M63" s="33">
        <f>INDEX('Tax Rates &amp; Assumptions'!H$17:H$1016,L40)</f>
        <v/>
      </c>
      <c r="N63" s="33">
        <f>INDEX('Tax Rates &amp; Assumptions'!I$17:I$1016,L40)</f>
        <v/>
      </c>
    </row>
    <row r="64" hidden="1" outlineLevel="1">
      <c r="B64" s="34" t="inlineStr">
        <is>
          <t>Federal Marginal Rate Applied to the Gain</t>
        </is>
      </c>
      <c r="C64" s="39">
        <f>IF(AND(C43&gt;=0,C44=1),IFERROR(INDEX($L$62:$L$64,MATCH(C48,$M$62:$M$64,1)),0),IFERROR(INDEX($L$53:$L$59,MATCH(C48,$M$53:$M$59,1)),0))</f>
        <v/>
      </c>
      <c r="L64" s="32">
        <f>INDEX('Tax Rates &amp; Assumptions'!J$17:J$1016,L40)</f>
        <v/>
      </c>
      <c r="M64" s="33">
        <f>INDEX('Tax Rates &amp; Assumptions'!K$17:K$1016,L40)</f>
        <v/>
      </c>
      <c r="N64" s="33">
        <f>INDEX('Tax Rates &amp; Assumptions'!L$17:L$1016,L40)</f>
        <v/>
      </c>
    </row>
    <row r="65" hidden="1" outlineLevel="1">
      <c r="B65" s="34" t="inlineStr">
        <is>
          <t>Federal Effective Rate on the Gain</t>
        </is>
      </c>
      <c r="C65" s="39">
        <f>IFERROR(C56/C43,0)</f>
        <v/>
      </c>
    </row>
    <row r="66" hidden="1" outlineLevel="1">
      <c r="B66" s="34" t="inlineStr">
        <is>
          <t>State Marginal Rate Applied to the Gain</t>
        </is>
      </c>
      <c r="C66" s="39">
        <f>IF(L44="OTHER",0,IFERROR(INDEX($L$67:$L$74,MATCH(C58,$M$67:$M$74,1)),0))</f>
        <v/>
      </c>
      <c r="K66" s="31" t="inlineStr">
        <is>
          <t>State Brackets</t>
        </is>
      </c>
    </row>
    <row r="67" hidden="1" outlineLevel="1">
      <c r="B67" s="34" t="inlineStr">
        <is>
          <t>State Effective Rate on the Gain</t>
        </is>
      </c>
      <c r="C67" s="39">
        <f>IFERROR(C61/C43,0)</f>
        <v/>
      </c>
      <c r="L67" s="32">
        <f>INDEX('Tax Rates &amp; Assumptions'!D$81:D$1080,L47)</f>
        <v/>
      </c>
      <c r="M67" s="33">
        <f>INDEX('Tax Rates &amp; Assumptions'!E$81:E$1080,L47)</f>
        <v/>
      </c>
      <c r="N67" s="33">
        <f>INDEX('Tax Rates &amp; Assumptions'!F$81:F$1080,L47)</f>
        <v/>
      </c>
    </row>
    <row r="68" hidden="1" outlineLevel="1">
      <c r="B68" s="34" t="inlineStr">
        <is>
          <t>Local Effective Rate on the Gain</t>
        </is>
      </c>
      <c r="C68" s="39">
        <f>IFERROR(C62/C43,0)</f>
        <v/>
      </c>
      <c r="L68" s="32">
        <f>INDEX('Tax Rates &amp; Assumptions'!G$81:G$1080,L47)</f>
        <v/>
      </c>
      <c r="M68" s="33">
        <f>INDEX('Tax Rates &amp; Assumptions'!H$81:H$1080,L47)</f>
        <v/>
      </c>
      <c r="N68" s="33">
        <f>INDEX('Tax Rates &amp; Assumptions'!I$81:I$1080,L47)</f>
        <v/>
      </c>
    </row>
    <row r="69" hidden="1" outlineLevel="1">
      <c r="L69" s="32">
        <f>INDEX('Tax Rates &amp; Assumptions'!J$81:J$1080,L47)</f>
        <v/>
      </c>
      <c r="M69" s="33">
        <f>INDEX('Tax Rates &amp; Assumptions'!K$81:K$1080,L47)</f>
        <v/>
      </c>
      <c r="N69" s="33">
        <f>INDEX('Tax Rates &amp; Assumptions'!L$81:L$1080,L47)</f>
        <v/>
      </c>
    </row>
    <row r="70" hidden="1" outlineLevel="1">
      <c r="L70" s="32">
        <f>INDEX('Tax Rates &amp; Assumptions'!M$81:M$1080,L47)</f>
        <v/>
      </c>
      <c r="M70" s="33">
        <f>INDEX('Tax Rates &amp; Assumptions'!N$81:N$1080,L47)</f>
        <v/>
      </c>
      <c r="N70" s="33">
        <f>INDEX('Tax Rates &amp; Assumptions'!O$81:O$1080,L47)</f>
        <v/>
      </c>
    </row>
    <row r="71" hidden="1" outlineLevel="1">
      <c r="L71" s="32">
        <f>INDEX('Tax Rates &amp; Assumptions'!P$81:P$1080,L47)</f>
        <v/>
      </c>
      <c r="M71" s="33">
        <f>INDEX('Tax Rates &amp; Assumptions'!Q$81:Q$1080,L47)</f>
        <v/>
      </c>
      <c r="N71" s="33">
        <f>INDEX('Tax Rates &amp; Assumptions'!R$81:R$1080,L47)</f>
        <v/>
      </c>
    </row>
    <row r="72" hidden="1" outlineLevel="1">
      <c r="L72" s="32">
        <f>INDEX('Tax Rates &amp; Assumptions'!S$81:S$1080,L47)</f>
        <v/>
      </c>
      <c r="M72" s="33">
        <f>INDEX('Tax Rates &amp; Assumptions'!T$81:T$1080,L47)</f>
        <v/>
      </c>
      <c r="N72" s="33">
        <f>INDEX('Tax Rates &amp; Assumptions'!U$81:U$1080,L47)</f>
        <v/>
      </c>
    </row>
    <row r="73" hidden="1" outlineLevel="1">
      <c r="L73" s="32">
        <f>INDEX('Tax Rates &amp; Assumptions'!V$81:V$1080,L47)</f>
        <v/>
      </c>
      <c r="M73" s="33">
        <f>INDEX('Tax Rates &amp; Assumptions'!W$81:W$1080,L47)</f>
        <v/>
      </c>
      <c r="N73" s="33">
        <f>INDEX('Tax Rates &amp; Assumptions'!X$81:X$1080,L47)</f>
        <v/>
      </c>
    </row>
    <row r="74" hidden="1" outlineLevel="1">
      <c r="L74" s="32">
        <f>INDEX('Tax Rates &amp; Assumptions'!Y$81:Y$1080,L47)</f>
        <v/>
      </c>
      <c r="M74" s="33">
        <f>INDEX('Tax Rates &amp; Assumptions'!Z$81:Z$1080,L47)</f>
        <v/>
      </c>
      <c r="N74" s="33">
        <f>INDEX('Tax Rates &amp; Assumptions'!AA$81:AA$1080,L47)</f>
        <v/>
      </c>
    </row>
    <row r="75" hidden="1" outlineLevel="1"/>
  </sheetData>
  <mergeCells count="7">
    <mergeCell ref="B12:I12"/>
    <mergeCell ref="B18:I19"/>
    <mergeCell ref="A21:H21"/>
    <mergeCell ref="A2:I2"/>
    <mergeCell ref="A1:I1"/>
    <mergeCell ref="B28:I30"/>
    <mergeCell ref="B32:F32"/>
  </mergeCells>
  <dataValidations count="5">
    <dataValidation sqref="I5" showDropDown="0" showInputMessage="0" showErrorMessage="0" allowBlank="0" type="list">
      <formula1>"One year or less,More than a year"</formula1>
    </dataValidation>
    <dataValidation sqref="C8" showDropDown="0" showInputMessage="0" showErrorMessage="0" allowBlank="0" type="list">
      <formula1>='Tax Rates &amp; Assumptions'!$B$46:$B$77</formula1>
    </dataValidation>
    <dataValidation sqref="I8" showDropDown="0" showInputMessage="0" showErrorMessage="0" allowBlank="0" type="list">
      <formula1>"Single,Married Filing Jointly,Married Filing Separately,Head of Household"</formula1>
    </dataValidation>
    <dataValidation sqref="C10" showDropDown="0" showInputMessage="0" showErrorMessage="0" allowBlank="0" type="list">
      <formula1>"2024,2025"</formula1>
    </dataValidation>
    <dataValidation sqref="F16" showDropDown="0" showInputMessage="0" showErrorMessage="0" allowBlank="0" type="list">
      <formula1>='Tax Rates &amp; Assumptions'!$B$148:$B$161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81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" customWidth="1" min="1" max="1"/>
    <col width="24" customWidth="1" min="2" max="2"/>
    <col width="15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</cols>
  <sheetData>
    <row r="1" ht="28" customHeight="1">
      <c r="A1" s="1" t="inlineStr">
        <is>
          <t>TAX RATES &amp; ASSUMPTIONS</t>
        </is>
      </c>
    </row>
    <row r="2">
      <c r="A2" s="2" t="inlineStr">
        <is>
          <t>This tab stores every tax-law figure used by the Capital Gains Tax Estimator (federal brackets, deduction amounts, thresholds, and state rates), organized by tax year. Update it to refresh figures for a new tax year or a state not yet listed - no formulas on the calculator tab need to change.</t>
        </is>
      </c>
    </row>
    <row r="4" ht="18" customHeight="1">
      <c r="A4" s="3" t="inlineStr">
        <is>
          <t>Federal Ordinary Income Tax Brackets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</row>
    <row r="5">
      <c r="A5" s="5" t="inlineStr">
        <is>
          <t>Year</t>
        </is>
      </c>
      <c r="B5" s="5" t="inlineStr">
        <is>
          <t>Filing Status</t>
        </is>
      </c>
      <c r="C5" s="5" t="inlineStr">
        <is>
          <t>Key</t>
        </is>
      </c>
      <c r="D5" s="5" t="inlineStr">
        <is>
          <t>Rate 1</t>
        </is>
      </c>
      <c r="E5" s="5" t="inlineStr">
        <is>
          <t>Min 1</t>
        </is>
      </c>
      <c r="F5" s="5" t="inlineStr">
        <is>
          <t>Max 1</t>
        </is>
      </c>
      <c r="G5" s="5" t="inlineStr">
        <is>
          <t>Rate 2</t>
        </is>
      </c>
      <c r="H5" s="5" t="inlineStr">
        <is>
          <t>Min 2</t>
        </is>
      </c>
      <c r="I5" s="5" t="inlineStr">
        <is>
          <t>Max 2</t>
        </is>
      </c>
      <c r="J5" s="5" t="inlineStr">
        <is>
          <t>Rate 3</t>
        </is>
      </c>
      <c r="K5" s="5" t="inlineStr">
        <is>
          <t>Min 3</t>
        </is>
      </c>
      <c r="L5" s="5" t="inlineStr">
        <is>
          <t>Max 3</t>
        </is>
      </c>
      <c r="M5" s="5" t="inlineStr">
        <is>
          <t>Rate 4</t>
        </is>
      </c>
      <c r="N5" s="5" t="inlineStr">
        <is>
          <t>Min 4</t>
        </is>
      </c>
      <c r="O5" s="5" t="inlineStr">
        <is>
          <t>Max 4</t>
        </is>
      </c>
      <c r="P5" s="5" t="inlineStr">
        <is>
          <t>Rate 5</t>
        </is>
      </c>
      <c r="Q5" s="5" t="inlineStr">
        <is>
          <t>Min 5</t>
        </is>
      </c>
      <c r="R5" s="5" t="inlineStr">
        <is>
          <t>Max 5</t>
        </is>
      </c>
      <c r="S5" s="5" t="inlineStr">
        <is>
          <t>Rate 6</t>
        </is>
      </c>
      <c r="T5" s="5" t="inlineStr">
        <is>
          <t>Min 6</t>
        </is>
      </c>
      <c r="U5" s="5" t="inlineStr">
        <is>
          <t>Max 6</t>
        </is>
      </c>
      <c r="V5" s="5" t="inlineStr">
        <is>
          <t>Rate 7</t>
        </is>
      </c>
      <c r="W5" s="5" t="inlineStr">
        <is>
          <t>Min 7</t>
        </is>
      </c>
      <c r="X5" s="5" t="inlineStr">
        <is>
          <t>Max 7</t>
        </is>
      </c>
    </row>
    <row r="6">
      <c r="A6" s="6" t="n">
        <v>2024</v>
      </c>
      <c r="B6" s="6" t="inlineStr">
        <is>
          <t>Single</t>
        </is>
      </c>
      <c r="C6" s="7">
        <f>A6&amp;"|"&amp;B6</f>
        <v/>
      </c>
      <c r="D6" s="8" t="n">
        <v>0.1</v>
      </c>
      <c r="E6" s="9" t="n">
        <v>0</v>
      </c>
      <c r="F6" s="10">
        <f>H6</f>
        <v/>
      </c>
      <c r="G6" s="8" t="n">
        <v>0.12</v>
      </c>
      <c r="H6" s="9" t="n">
        <v>11600</v>
      </c>
      <c r="I6" s="10">
        <f>K6</f>
        <v/>
      </c>
      <c r="J6" s="8" t="n">
        <v>0.22</v>
      </c>
      <c r="K6" s="9" t="n">
        <v>47150</v>
      </c>
      <c r="L6" s="10">
        <f>N6</f>
        <v/>
      </c>
      <c r="M6" s="8" t="n">
        <v>0.24</v>
      </c>
      <c r="N6" s="9" t="n">
        <v>100525</v>
      </c>
      <c r="O6" s="10">
        <f>Q6</f>
        <v/>
      </c>
      <c r="P6" s="8" t="n">
        <v>0.32</v>
      </c>
      <c r="Q6" s="9" t="n">
        <v>191950</v>
      </c>
      <c r="R6" s="10">
        <f>T6</f>
        <v/>
      </c>
      <c r="S6" s="8" t="n">
        <v>0.35</v>
      </c>
      <c r="T6" s="9" t="n">
        <v>243725</v>
      </c>
      <c r="U6" s="10">
        <f>W6</f>
        <v/>
      </c>
      <c r="V6" s="8" t="n">
        <v>0.37</v>
      </c>
      <c r="W6" s="9" t="n">
        <v>609350</v>
      </c>
      <c r="X6" s="10" t="n">
        <v>999999999</v>
      </c>
    </row>
    <row r="7">
      <c r="A7" s="6" t="n">
        <v>2024</v>
      </c>
      <c r="B7" s="6" t="inlineStr">
        <is>
          <t>Married Filing Jointly</t>
        </is>
      </c>
      <c r="C7" s="7">
        <f>A7&amp;"|"&amp;B7</f>
        <v/>
      </c>
      <c r="D7" s="8" t="n">
        <v>0.1</v>
      </c>
      <c r="E7" s="9" t="n">
        <v>0</v>
      </c>
      <c r="F7" s="10">
        <f>H7</f>
        <v/>
      </c>
      <c r="G7" s="8" t="n">
        <v>0.12</v>
      </c>
      <c r="H7" s="9" t="n">
        <v>23200</v>
      </c>
      <c r="I7" s="10">
        <f>K7</f>
        <v/>
      </c>
      <c r="J7" s="8" t="n">
        <v>0.22</v>
      </c>
      <c r="K7" s="9" t="n">
        <v>94300</v>
      </c>
      <c r="L7" s="10">
        <f>N7</f>
        <v/>
      </c>
      <c r="M7" s="8" t="n">
        <v>0.24</v>
      </c>
      <c r="N7" s="9" t="n">
        <v>201050</v>
      </c>
      <c r="O7" s="10">
        <f>Q7</f>
        <v/>
      </c>
      <c r="P7" s="8" t="n">
        <v>0.32</v>
      </c>
      <c r="Q7" s="9" t="n">
        <v>383900</v>
      </c>
      <c r="R7" s="10">
        <f>T7</f>
        <v/>
      </c>
      <c r="S7" s="8" t="n">
        <v>0.35</v>
      </c>
      <c r="T7" s="9" t="n">
        <v>487450</v>
      </c>
      <c r="U7" s="10">
        <f>W7</f>
        <v/>
      </c>
      <c r="V7" s="8" t="n">
        <v>0.37</v>
      </c>
      <c r="W7" s="9" t="n">
        <v>731200</v>
      </c>
      <c r="X7" s="10" t="n">
        <v>999999999</v>
      </c>
    </row>
    <row r="8">
      <c r="A8" s="6" t="n">
        <v>2024</v>
      </c>
      <c r="B8" s="6" t="inlineStr">
        <is>
          <t>Married Filing Separately</t>
        </is>
      </c>
      <c r="C8" s="7">
        <f>A8&amp;"|"&amp;B8</f>
        <v/>
      </c>
      <c r="D8" s="8" t="n">
        <v>0.1</v>
      </c>
      <c r="E8" s="9" t="n">
        <v>0</v>
      </c>
      <c r="F8" s="10">
        <f>H8</f>
        <v/>
      </c>
      <c r="G8" s="8" t="n">
        <v>0.12</v>
      </c>
      <c r="H8" s="9" t="n">
        <v>11600</v>
      </c>
      <c r="I8" s="10">
        <f>K8</f>
        <v/>
      </c>
      <c r="J8" s="8" t="n">
        <v>0.22</v>
      </c>
      <c r="K8" s="9" t="n">
        <v>47150</v>
      </c>
      <c r="L8" s="10">
        <f>N8</f>
        <v/>
      </c>
      <c r="M8" s="8" t="n">
        <v>0.24</v>
      </c>
      <c r="N8" s="9" t="n">
        <v>100525</v>
      </c>
      <c r="O8" s="10">
        <f>Q8</f>
        <v/>
      </c>
      <c r="P8" s="8" t="n">
        <v>0.32</v>
      </c>
      <c r="Q8" s="9" t="n">
        <v>191950</v>
      </c>
      <c r="R8" s="10">
        <f>T8</f>
        <v/>
      </c>
      <c r="S8" s="8" t="n">
        <v>0.35</v>
      </c>
      <c r="T8" s="9" t="n">
        <v>243725</v>
      </c>
      <c r="U8" s="10">
        <f>W8</f>
        <v/>
      </c>
      <c r="V8" s="8" t="n">
        <v>0.37</v>
      </c>
      <c r="W8" s="9" t="n">
        <v>365600</v>
      </c>
      <c r="X8" s="10" t="n">
        <v>999999999</v>
      </c>
    </row>
    <row r="9">
      <c r="A9" s="6" t="n">
        <v>2024</v>
      </c>
      <c r="B9" s="6" t="inlineStr">
        <is>
          <t>Head of Household</t>
        </is>
      </c>
      <c r="C9" s="7">
        <f>A9&amp;"|"&amp;B9</f>
        <v/>
      </c>
      <c r="D9" s="8" t="n">
        <v>0.1</v>
      </c>
      <c r="E9" s="9" t="n">
        <v>0</v>
      </c>
      <c r="F9" s="10">
        <f>H9</f>
        <v/>
      </c>
      <c r="G9" s="8" t="n">
        <v>0.12</v>
      </c>
      <c r="H9" s="9" t="n">
        <v>16550</v>
      </c>
      <c r="I9" s="10">
        <f>K9</f>
        <v/>
      </c>
      <c r="J9" s="8" t="n">
        <v>0.22</v>
      </c>
      <c r="K9" s="9" t="n">
        <v>63100</v>
      </c>
      <c r="L9" s="10">
        <f>N9</f>
        <v/>
      </c>
      <c r="M9" s="8" t="n">
        <v>0.24</v>
      </c>
      <c r="N9" s="9" t="n">
        <v>100500</v>
      </c>
      <c r="O9" s="10">
        <f>Q9</f>
        <v/>
      </c>
      <c r="P9" s="8" t="n">
        <v>0.32</v>
      </c>
      <c r="Q9" s="9" t="n">
        <v>191950</v>
      </c>
      <c r="R9" s="10">
        <f>T9</f>
        <v/>
      </c>
      <c r="S9" s="8" t="n">
        <v>0.35</v>
      </c>
      <c r="T9" s="9" t="n">
        <v>243700</v>
      </c>
      <c r="U9" s="10">
        <f>W9</f>
        <v/>
      </c>
      <c r="V9" s="8" t="n">
        <v>0.37</v>
      </c>
      <c r="W9" s="9" t="n">
        <v>609350</v>
      </c>
      <c r="X9" s="10" t="n">
        <v>999999999</v>
      </c>
    </row>
    <row r="10">
      <c r="A10" s="6" t="n">
        <v>2025</v>
      </c>
      <c r="B10" s="6" t="inlineStr">
        <is>
          <t>Single</t>
        </is>
      </c>
      <c r="C10" s="7">
        <f>A10&amp;"|"&amp;B10</f>
        <v/>
      </c>
      <c r="D10" s="8" t="n">
        <v>0.1</v>
      </c>
      <c r="E10" s="9" t="n">
        <v>0</v>
      </c>
      <c r="F10" s="10">
        <f>H10</f>
        <v/>
      </c>
      <c r="G10" s="8" t="n">
        <v>0.12</v>
      </c>
      <c r="H10" s="9" t="n">
        <v>11925</v>
      </c>
      <c r="I10" s="10">
        <f>K10</f>
        <v/>
      </c>
      <c r="J10" s="8" t="n">
        <v>0.22</v>
      </c>
      <c r="K10" s="9" t="n">
        <v>48475</v>
      </c>
      <c r="L10" s="10">
        <f>N10</f>
        <v/>
      </c>
      <c r="M10" s="8" t="n">
        <v>0.24</v>
      </c>
      <c r="N10" s="9" t="n">
        <v>103350</v>
      </c>
      <c r="O10" s="10">
        <f>Q10</f>
        <v/>
      </c>
      <c r="P10" s="8" t="n">
        <v>0.32</v>
      </c>
      <c r="Q10" s="9" t="n">
        <v>197300</v>
      </c>
      <c r="R10" s="10">
        <f>T10</f>
        <v/>
      </c>
      <c r="S10" s="8" t="n">
        <v>0.35</v>
      </c>
      <c r="T10" s="9" t="n">
        <v>250525</v>
      </c>
      <c r="U10" s="10">
        <f>W10</f>
        <v/>
      </c>
      <c r="V10" s="8" t="n">
        <v>0.37</v>
      </c>
      <c r="W10" s="9" t="n">
        <v>626350</v>
      </c>
      <c r="X10" s="10" t="n">
        <v>999999999</v>
      </c>
    </row>
    <row r="11">
      <c r="A11" s="6" t="n">
        <v>2025</v>
      </c>
      <c r="B11" s="6" t="inlineStr">
        <is>
          <t>Married Filing Jointly</t>
        </is>
      </c>
      <c r="C11" s="7">
        <f>A11&amp;"|"&amp;B11</f>
        <v/>
      </c>
      <c r="D11" s="8" t="n">
        <v>0.1</v>
      </c>
      <c r="E11" s="9" t="n">
        <v>0</v>
      </c>
      <c r="F11" s="10">
        <f>H11</f>
        <v/>
      </c>
      <c r="G11" s="8" t="n">
        <v>0.12</v>
      </c>
      <c r="H11" s="9" t="n">
        <v>23850</v>
      </c>
      <c r="I11" s="10">
        <f>K11</f>
        <v/>
      </c>
      <c r="J11" s="8" t="n">
        <v>0.22</v>
      </c>
      <c r="K11" s="9" t="n">
        <v>96950</v>
      </c>
      <c r="L11" s="10">
        <f>N11</f>
        <v/>
      </c>
      <c r="M11" s="8" t="n">
        <v>0.24</v>
      </c>
      <c r="N11" s="9" t="n">
        <v>206700</v>
      </c>
      <c r="O11" s="10">
        <f>Q11</f>
        <v/>
      </c>
      <c r="P11" s="8" t="n">
        <v>0.32</v>
      </c>
      <c r="Q11" s="9" t="n">
        <v>394600</v>
      </c>
      <c r="R11" s="10">
        <f>T11</f>
        <v/>
      </c>
      <c r="S11" s="8" t="n">
        <v>0.35</v>
      </c>
      <c r="T11" s="9" t="n">
        <v>501050</v>
      </c>
      <c r="U11" s="10">
        <f>W11</f>
        <v/>
      </c>
      <c r="V11" s="8" t="n">
        <v>0.37</v>
      </c>
      <c r="W11" s="9" t="n">
        <v>751600</v>
      </c>
      <c r="X11" s="10" t="n">
        <v>999999999</v>
      </c>
    </row>
    <row r="12">
      <c r="A12" s="6" t="n">
        <v>2025</v>
      </c>
      <c r="B12" s="6" t="inlineStr">
        <is>
          <t>Married Filing Separately</t>
        </is>
      </c>
      <c r="C12" s="7">
        <f>A12&amp;"|"&amp;B12</f>
        <v/>
      </c>
      <c r="D12" s="8" t="n">
        <v>0.1</v>
      </c>
      <c r="E12" s="9" t="n">
        <v>0</v>
      </c>
      <c r="F12" s="10">
        <f>H12</f>
        <v/>
      </c>
      <c r="G12" s="8" t="n">
        <v>0.12</v>
      </c>
      <c r="H12" s="9" t="n">
        <v>11925</v>
      </c>
      <c r="I12" s="10">
        <f>K12</f>
        <v/>
      </c>
      <c r="J12" s="8" t="n">
        <v>0.22</v>
      </c>
      <c r="K12" s="9" t="n">
        <v>48475</v>
      </c>
      <c r="L12" s="10">
        <f>N12</f>
        <v/>
      </c>
      <c r="M12" s="8" t="n">
        <v>0.24</v>
      </c>
      <c r="N12" s="9" t="n">
        <v>103350</v>
      </c>
      <c r="O12" s="10">
        <f>Q12</f>
        <v/>
      </c>
      <c r="P12" s="8" t="n">
        <v>0.32</v>
      </c>
      <c r="Q12" s="9" t="n">
        <v>197300</v>
      </c>
      <c r="R12" s="10">
        <f>T12</f>
        <v/>
      </c>
      <c r="S12" s="8" t="n">
        <v>0.35</v>
      </c>
      <c r="T12" s="9" t="n">
        <v>250525</v>
      </c>
      <c r="U12" s="10">
        <f>W12</f>
        <v/>
      </c>
      <c r="V12" s="8" t="n">
        <v>0.37</v>
      </c>
      <c r="W12" s="9" t="n">
        <v>375800</v>
      </c>
      <c r="X12" s="10" t="n">
        <v>999999999</v>
      </c>
    </row>
    <row r="13">
      <c r="A13" s="6" t="n">
        <v>2025</v>
      </c>
      <c r="B13" s="6" t="inlineStr">
        <is>
          <t>Head of Household</t>
        </is>
      </c>
      <c r="C13" s="7">
        <f>A13&amp;"|"&amp;B13</f>
        <v/>
      </c>
      <c r="D13" s="8" t="n">
        <v>0.1</v>
      </c>
      <c r="E13" s="9" t="n">
        <v>0</v>
      </c>
      <c r="F13" s="10">
        <f>H13</f>
        <v/>
      </c>
      <c r="G13" s="8" t="n">
        <v>0.12</v>
      </c>
      <c r="H13" s="9" t="n">
        <v>17000</v>
      </c>
      <c r="I13" s="10">
        <f>K13</f>
        <v/>
      </c>
      <c r="J13" s="8" t="n">
        <v>0.22</v>
      </c>
      <c r="K13" s="9" t="n">
        <v>64850</v>
      </c>
      <c r="L13" s="10">
        <f>N13</f>
        <v/>
      </c>
      <c r="M13" s="8" t="n">
        <v>0.24</v>
      </c>
      <c r="N13" s="9" t="n">
        <v>103350</v>
      </c>
      <c r="O13" s="10">
        <f>Q13</f>
        <v/>
      </c>
      <c r="P13" s="8" t="n">
        <v>0.32</v>
      </c>
      <c r="Q13" s="9" t="n">
        <v>197300</v>
      </c>
      <c r="R13" s="10">
        <f>T13</f>
        <v/>
      </c>
      <c r="S13" s="8" t="n">
        <v>0.35</v>
      </c>
      <c r="T13" s="9" t="n">
        <v>250500</v>
      </c>
      <c r="U13" s="10">
        <f>W13</f>
        <v/>
      </c>
      <c r="V13" s="8" t="n">
        <v>0.37</v>
      </c>
      <c r="W13" s="9" t="n">
        <v>626350</v>
      </c>
      <c r="X13" s="10" t="n">
        <v>999999999</v>
      </c>
    </row>
    <row r="15" ht="18" customHeight="1">
      <c r="A15" s="3" t="inlineStr">
        <is>
          <t>Long-Term Capital Gains Brackets (0% / 15% / 20%)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</row>
    <row r="16">
      <c r="A16" s="5" t="inlineStr">
        <is>
          <t>Year</t>
        </is>
      </c>
      <c r="B16" s="5" t="inlineStr">
        <is>
          <t>Filing Status</t>
        </is>
      </c>
      <c r="C16" s="5" t="inlineStr">
        <is>
          <t>Key</t>
        </is>
      </c>
      <c r="D16" s="5" t="inlineStr">
        <is>
          <t>Rate 1</t>
        </is>
      </c>
      <c r="E16" s="5" t="inlineStr">
        <is>
          <t>Min 1</t>
        </is>
      </c>
      <c r="F16" s="5" t="inlineStr">
        <is>
          <t>Max 1</t>
        </is>
      </c>
      <c r="G16" s="5" t="inlineStr">
        <is>
          <t>Rate 2</t>
        </is>
      </c>
      <c r="H16" s="5" t="inlineStr">
        <is>
          <t>Min 2</t>
        </is>
      </c>
      <c r="I16" s="5" t="inlineStr">
        <is>
          <t>Max 2</t>
        </is>
      </c>
      <c r="J16" s="5" t="inlineStr">
        <is>
          <t>Rate 3</t>
        </is>
      </c>
      <c r="K16" s="5" t="inlineStr">
        <is>
          <t>Min 3</t>
        </is>
      </c>
      <c r="L16" s="5" t="inlineStr">
        <is>
          <t>Max 3</t>
        </is>
      </c>
    </row>
    <row r="17">
      <c r="A17" s="6" t="n">
        <v>2024</v>
      </c>
      <c r="B17" s="6" t="inlineStr">
        <is>
          <t>Single</t>
        </is>
      </c>
      <c r="C17" s="7">
        <f>A17&amp;"|"&amp;B17</f>
        <v/>
      </c>
      <c r="D17" s="8" t="n">
        <v>0</v>
      </c>
      <c r="E17" s="9" t="n">
        <v>0</v>
      </c>
      <c r="F17" s="10">
        <f>H17</f>
        <v/>
      </c>
      <c r="G17" s="8" t="n">
        <v>0.15</v>
      </c>
      <c r="H17" s="9" t="n">
        <v>47025</v>
      </c>
      <c r="I17" s="10">
        <f>K17</f>
        <v/>
      </c>
      <c r="J17" s="8" t="n">
        <v>0.2</v>
      </c>
      <c r="K17" s="9" t="n">
        <v>518900</v>
      </c>
      <c r="L17" s="10" t="n">
        <v>999999999</v>
      </c>
    </row>
    <row r="18">
      <c r="A18" s="6" t="n">
        <v>2024</v>
      </c>
      <c r="B18" s="6" t="inlineStr">
        <is>
          <t>Married Filing Jointly</t>
        </is>
      </c>
      <c r="C18" s="7">
        <f>A18&amp;"|"&amp;B18</f>
        <v/>
      </c>
      <c r="D18" s="8" t="n">
        <v>0</v>
      </c>
      <c r="E18" s="9" t="n">
        <v>0</v>
      </c>
      <c r="F18" s="10">
        <f>H18</f>
        <v/>
      </c>
      <c r="G18" s="8" t="n">
        <v>0.15</v>
      </c>
      <c r="H18" s="9" t="n">
        <v>94050</v>
      </c>
      <c r="I18" s="10">
        <f>K18</f>
        <v/>
      </c>
      <c r="J18" s="8" t="n">
        <v>0.2</v>
      </c>
      <c r="K18" s="9" t="n">
        <v>583750</v>
      </c>
      <c r="L18" s="10" t="n">
        <v>999999999</v>
      </c>
    </row>
    <row r="19">
      <c r="A19" s="6" t="n">
        <v>2024</v>
      </c>
      <c r="B19" s="6" t="inlineStr">
        <is>
          <t>Married Filing Separately</t>
        </is>
      </c>
      <c r="C19" s="7">
        <f>A19&amp;"|"&amp;B19</f>
        <v/>
      </c>
      <c r="D19" s="8" t="n">
        <v>0</v>
      </c>
      <c r="E19" s="9" t="n">
        <v>0</v>
      </c>
      <c r="F19" s="10">
        <f>H19</f>
        <v/>
      </c>
      <c r="G19" s="8" t="n">
        <v>0.15</v>
      </c>
      <c r="H19" s="9" t="n">
        <v>47025</v>
      </c>
      <c r="I19" s="10">
        <f>K19</f>
        <v/>
      </c>
      <c r="J19" s="8" t="n">
        <v>0.2</v>
      </c>
      <c r="K19" s="9" t="n">
        <v>291850</v>
      </c>
      <c r="L19" s="10" t="n">
        <v>999999999</v>
      </c>
    </row>
    <row r="20">
      <c r="A20" s="6" t="n">
        <v>2024</v>
      </c>
      <c r="B20" s="6" t="inlineStr">
        <is>
          <t>Head of Household</t>
        </is>
      </c>
      <c r="C20" s="7">
        <f>A20&amp;"|"&amp;B20</f>
        <v/>
      </c>
      <c r="D20" s="8" t="n">
        <v>0</v>
      </c>
      <c r="E20" s="9" t="n">
        <v>0</v>
      </c>
      <c r="F20" s="10">
        <f>H20</f>
        <v/>
      </c>
      <c r="G20" s="8" t="n">
        <v>0.15</v>
      </c>
      <c r="H20" s="9" t="n">
        <v>63000</v>
      </c>
      <c r="I20" s="10">
        <f>K20</f>
        <v/>
      </c>
      <c r="J20" s="8" t="n">
        <v>0.2</v>
      </c>
      <c r="K20" s="9" t="n">
        <v>551350</v>
      </c>
      <c r="L20" s="10" t="n">
        <v>999999999</v>
      </c>
    </row>
    <row r="21">
      <c r="A21" s="6" t="n">
        <v>2025</v>
      </c>
      <c r="B21" s="6" t="inlineStr">
        <is>
          <t>Single</t>
        </is>
      </c>
      <c r="C21" s="7">
        <f>A21&amp;"|"&amp;B21</f>
        <v/>
      </c>
      <c r="D21" s="8" t="n">
        <v>0</v>
      </c>
      <c r="E21" s="9" t="n">
        <v>0</v>
      </c>
      <c r="F21" s="10">
        <f>H21</f>
        <v/>
      </c>
      <c r="G21" s="8" t="n">
        <v>0.15</v>
      </c>
      <c r="H21" s="9" t="n">
        <v>48350</v>
      </c>
      <c r="I21" s="10">
        <f>K21</f>
        <v/>
      </c>
      <c r="J21" s="8" t="n">
        <v>0.2</v>
      </c>
      <c r="K21" s="9" t="n">
        <v>533400</v>
      </c>
      <c r="L21" s="10" t="n">
        <v>999999999</v>
      </c>
    </row>
    <row r="22">
      <c r="A22" s="6" t="n">
        <v>2025</v>
      </c>
      <c r="B22" s="6" t="inlineStr">
        <is>
          <t>Married Filing Jointly</t>
        </is>
      </c>
      <c r="C22" s="7">
        <f>A22&amp;"|"&amp;B22</f>
        <v/>
      </c>
      <c r="D22" s="8" t="n">
        <v>0</v>
      </c>
      <c r="E22" s="9" t="n">
        <v>0</v>
      </c>
      <c r="F22" s="10">
        <f>H22</f>
        <v/>
      </c>
      <c r="G22" s="8" t="n">
        <v>0.15</v>
      </c>
      <c r="H22" s="9" t="n">
        <v>96700</v>
      </c>
      <c r="I22" s="10">
        <f>K22</f>
        <v/>
      </c>
      <c r="J22" s="8" t="n">
        <v>0.2</v>
      </c>
      <c r="K22" s="9" t="n">
        <v>600050</v>
      </c>
      <c r="L22" s="10" t="n">
        <v>999999999</v>
      </c>
    </row>
    <row r="23">
      <c r="A23" s="6" t="n">
        <v>2025</v>
      </c>
      <c r="B23" s="6" t="inlineStr">
        <is>
          <t>Married Filing Separately</t>
        </is>
      </c>
      <c r="C23" s="7">
        <f>A23&amp;"|"&amp;B23</f>
        <v/>
      </c>
      <c r="D23" s="8" t="n">
        <v>0</v>
      </c>
      <c r="E23" s="9" t="n">
        <v>0</v>
      </c>
      <c r="F23" s="10">
        <f>H23</f>
        <v/>
      </c>
      <c r="G23" s="8" t="n">
        <v>0.15</v>
      </c>
      <c r="H23" s="9" t="n">
        <v>48350</v>
      </c>
      <c r="I23" s="10">
        <f>K23</f>
        <v/>
      </c>
      <c r="J23" s="8" t="n">
        <v>0.2</v>
      </c>
      <c r="K23" s="9" t="n">
        <v>300000</v>
      </c>
      <c r="L23" s="10" t="n">
        <v>999999999</v>
      </c>
    </row>
    <row r="24">
      <c r="A24" s="6" t="n">
        <v>2025</v>
      </c>
      <c r="B24" s="6" t="inlineStr">
        <is>
          <t>Head of Household</t>
        </is>
      </c>
      <c r="C24" s="7">
        <f>A24&amp;"|"&amp;B24</f>
        <v/>
      </c>
      <c r="D24" s="8" t="n">
        <v>0</v>
      </c>
      <c r="E24" s="9" t="n">
        <v>0</v>
      </c>
      <c r="F24" s="10">
        <f>H24</f>
        <v/>
      </c>
      <c r="G24" s="8" t="n">
        <v>0.15</v>
      </c>
      <c r="H24" s="9" t="n">
        <v>64750</v>
      </c>
      <c r="I24" s="10">
        <f>K24</f>
        <v/>
      </c>
      <c r="J24" s="8" t="n">
        <v>0.2</v>
      </c>
      <c r="K24" s="9" t="n">
        <v>566700</v>
      </c>
      <c r="L24" s="10" t="n">
        <v>999999999</v>
      </c>
    </row>
    <row r="26" ht="18" customHeight="1">
      <c r="A26" s="3" t="inlineStr">
        <is>
          <t>Standard Deduction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</row>
    <row r="27">
      <c r="A27" s="5" t="inlineStr">
        <is>
          <t>Year</t>
        </is>
      </c>
      <c r="B27" s="5" t="inlineStr">
        <is>
          <t>Filing Status</t>
        </is>
      </c>
      <c r="C27" s="5" t="inlineStr">
        <is>
          <t>Key</t>
        </is>
      </c>
      <c r="D27" s="5" t="inlineStr">
        <is>
          <t>Standard Deduction</t>
        </is>
      </c>
    </row>
    <row r="28">
      <c r="A28" s="11" t="n">
        <v>2024</v>
      </c>
      <c r="B28" s="12" t="inlineStr">
        <is>
          <t>Single</t>
        </is>
      </c>
      <c r="C28" s="7">
        <f>A28&amp;"|"&amp;B28</f>
        <v/>
      </c>
      <c r="D28" s="13" t="n">
        <v>14600</v>
      </c>
    </row>
    <row r="29">
      <c r="A29" s="11" t="n">
        <v>2024</v>
      </c>
      <c r="B29" s="12" t="inlineStr">
        <is>
          <t>Married Filing Jointly</t>
        </is>
      </c>
      <c r="C29" s="7">
        <f>A29&amp;"|"&amp;B29</f>
        <v/>
      </c>
      <c r="D29" s="13" t="n">
        <v>29200</v>
      </c>
    </row>
    <row r="30">
      <c r="A30" s="11" t="n">
        <v>2024</v>
      </c>
      <c r="B30" s="12" t="inlineStr">
        <is>
          <t>Married Filing Separately</t>
        </is>
      </c>
      <c r="C30" s="7">
        <f>A30&amp;"|"&amp;B30</f>
        <v/>
      </c>
      <c r="D30" s="13" t="n">
        <v>14600</v>
      </c>
    </row>
    <row r="31">
      <c r="A31" s="11" t="n">
        <v>2024</v>
      </c>
      <c r="B31" s="12" t="inlineStr">
        <is>
          <t>Head of Household</t>
        </is>
      </c>
      <c r="C31" s="7">
        <f>A31&amp;"|"&amp;B31</f>
        <v/>
      </c>
      <c r="D31" s="13" t="n">
        <v>21900</v>
      </c>
    </row>
    <row r="32">
      <c r="A32" s="11" t="n">
        <v>2025</v>
      </c>
      <c r="B32" s="12" t="inlineStr">
        <is>
          <t>Single</t>
        </is>
      </c>
      <c r="C32" s="7">
        <f>A32&amp;"|"&amp;B32</f>
        <v/>
      </c>
      <c r="D32" s="13" t="n">
        <v>15000</v>
      </c>
    </row>
    <row r="33">
      <c r="A33" s="11" t="n">
        <v>2025</v>
      </c>
      <c r="B33" s="12" t="inlineStr">
        <is>
          <t>Married Filing Jointly</t>
        </is>
      </c>
      <c r="C33" s="7">
        <f>A33&amp;"|"&amp;B33</f>
        <v/>
      </c>
      <c r="D33" s="13" t="n">
        <v>30000</v>
      </c>
    </row>
    <row r="34">
      <c r="A34" s="11" t="n">
        <v>2025</v>
      </c>
      <c r="B34" s="12" t="inlineStr">
        <is>
          <t>Married Filing Separately</t>
        </is>
      </c>
      <c r="C34" s="7">
        <f>A34&amp;"|"&amp;B34</f>
        <v/>
      </c>
      <c r="D34" s="13" t="n">
        <v>15000</v>
      </c>
    </row>
    <row r="35">
      <c r="A35" s="11" t="n">
        <v>2025</v>
      </c>
      <c r="B35" s="12" t="inlineStr">
        <is>
          <t>Head of Household</t>
        </is>
      </c>
      <c r="C35" s="7">
        <f>A35&amp;"|"&amp;B35</f>
        <v/>
      </c>
      <c r="D35" s="13" t="n">
        <v>22500</v>
      </c>
    </row>
    <row r="37" ht="18" customHeight="1">
      <c r="A37" s="3" t="inlineStr">
        <is>
          <t>NIIT Thresholds &amp; Capital-Loss Deduction Limit (fixed by statute)</t>
        </is>
      </c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</row>
    <row r="38">
      <c r="A38" s="5" t="inlineStr">
        <is>
          <t>Filing Status</t>
        </is>
      </c>
      <c r="B38" s="5" t="inlineStr">
        <is>
          <t>NIIT MAGI Threshold</t>
        </is>
      </c>
      <c r="C38" s="5" t="inlineStr">
        <is>
          <t>NIIT Rate</t>
        </is>
      </c>
      <c r="D38" s="5" t="inlineStr">
        <is>
          <t>Annual Capital-Loss Deduction Limit</t>
        </is>
      </c>
    </row>
    <row r="39">
      <c r="A39" s="12" t="inlineStr">
        <is>
          <t>Single</t>
        </is>
      </c>
      <c r="B39" s="13" t="n">
        <v>200000</v>
      </c>
      <c r="C39" s="14" t="n">
        <v>0.038</v>
      </c>
      <c r="D39" s="13" t="n">
        <v>3000</v>
      </c>
    </row>
    <row r="40">
      <c r="A40" s="12" t="inlineStr">
        <is>
          <t>Married Filing Jointly</t>
        </is>
      </c>
      <c r="B40" s="13" t="n">
        <v>250000</v>
      </c>
      <c r="C40" s="14" t="n">
        <v>0.038</v>
      </c>
      <c r="D40" s="13" t="n">
        <v>3000</v>
      </c>
    </row>
    <row r="41">
      <c r="A41" s="12" t="inlineStr">
        <is>
          <t>Married Filing Separately</t>
        </is>
      </c>
      <c r="B41" s="13" t="n">
        <v>125000</v>
      </c>
      <c r="C41" s="14" t="n">
        <v>0.038</v>
      </c>
      <c r="D41" s="13" t="n">
        <v>1500</v>
      </c>
    </row>
    <row r="42">
      <c r="A42" s="12" t="inlineStr">
        <is>
          <t>Head of Household</t>
        </is>
      </c>
      <c r="B42" s="13" t="n">
        <v>200000</v>
      </c>
      <c r="C42" s="14" t="n">
        <v>0.038</v>
      </c>
      <c r="D42" s="13" t="n">
        <v>3000</v>
      </c>
    </row>
    <row r="44" ht="18" customHeight="1">
      <c r="A44" s="3" t="inlineStr">
        <is>
          <t>State Master List &amp; Capital-Gains Treatment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</row>
    <row r="45">
      <c r="A45" s="5" t="inlineStr">
        <is>
          <t>State Code</t>
        </is>
      </c>
      <c r="B45" s="5" t="inlineStr">
        <is>
          <t>State Name</t>
        </is>
      </c>
      <c r="C45" s="5" t="inlineStr">
        <is>
          <t>Tax Type</t>
        </is>
      </c>
      <c r="D45" s="5" t="inlineStr">
        <is>
          <t>Std. Deduction (Single)</t>
        </is>
      </c>
      <c r="E45" s="5" t="inlineStr">
        <is>
          <t>Std. Deduction (MFJ)</t>
        </is>
      </c>
      <c r="F45" s="5" t="inlineStr">
        <is>
          <t>Capital-Gains Treatment</t>
        </is>
      </c>
      <c r="G45" s="5" t="inlineStr">
        <is>
          <t>Notes / Simplifications</t>
        </is>
      </c>
    </row>
    <row r="46">
      <c r="A46" s="12" t="inlineStr">
        <is>
          <t>FL</t>
        </is>
      </c>
      <c r="B46" s="12" t="inlineStr">
        <is>
          <t>Florida</t>
        </is>
      </c>
      <c r="C46" s="12" t="inlineStr">
        <is>
          <t>None</t>
        </is>
      </c>
      <c r="D46" s="13" t="n">
        <v>0</v>
      </c>
      <c r="E46" s="13" t="n">
        <v>0</v>
      </c>
      <c r="F46" s="12" t="inlineStr">
        <is>
          <t>No state income tax</t>
        </is>
      </c>
      <c r="G46" s="15" t="inlineStr">
        <is>
          <t>No state income tax.</t>
        </is>
      </c>
    </row>
    <row r="47">
      <c r="A47" s="12" t="inlineStr">
        <is>
          <t>TX</t>
        </is>
      </c>
      <c r="B47" s="12" t="inlineStr">
        <is>
          <t>Texas</t>
        </is>
      </c>
      <c r="C47" s="12" t="inlineStr">
        <is>
          <t>None</t>
        </is>
      </c>
      <c r="D47" s="13" t="n">
        <v>0</v>
      </c>
      <c r="E47" s="13" t="n">
        <v>0</v>
      </c>
      <c r="F47" s="12" t="inlineStr">
        <is>
          <t>No state income tax</t>
        </is>
      </c>
      <c r="G47" s="15" t="inlineStr">
        <is>
          <t>No state income tax.</t>
        </is>
      </c>
    </row>
    <row r="48">
      <c r="A48" s="12" t="inlineStr">
        <is>
          <t>WA</t>
        </is>
      </c>
      <c r="B48" s="12" t="inlineStr">
        <is>
          <t>Washington</t>
        </is>
      </c>
      <c r="C48" s="12" t="inlineStr">
        <is>
          <t>None</t>
        </is>
      </c>
      <c r="D48" s="13" t="n">
        <v>0</v>
      </c>
      <c r="E48" s="13" t="n">
        <v>0</v>
      </c>
      <c r="F48" s="12" t="inlineStr">
        <is>
          <t>No state income tax</t>
        </is>
      </c>
      <c r="G48" s="15" t="inlineStr">
        <is>
          <t>No state income tax (capital gains excise tax on high earners not modeled).</t>
        </is>
      </c>
    </row>
    <row r="49">
      <c r="A49" s="12" t="inlineStr">
        <is>
          <t>NV</t>
        </is>
      </c>
      <c r="B49" s="12" t="inlineStr">
        <is>
          <t>Nevada</t>
        </is>
      </c>
      <c r="C49" s="12" t="inlineStr">
        <is>
          <t>None</t>
        </is>
      </c>
      <c r="D49" s="13" t="n">
        <v>0</v>
      </c>
      <c r="E49" s="13" t="n">
        <v>0</v>
      </c>
      <c r="F49" s="12" t="inlineStr">
        <is>
          <t>No state income tax</t>
        </is>
      </c>
      <c r="G49" s="15" t="inlineStr">
        <is>
          <t>No state income tax.</t>
        </is>
      </c>
    </row>
    <row r="50">
      <c r="A50" s="12" t="inlineStr">
        <is>
          <t>WY</t>
        </is>
      </c>
      <c r="B50" s="12" t="inlineStr">
        <is>
          <t>Wyoming</t>
        </is>
      </c>
      <c r="C50" s="12" t="inlineStr">
        <is>
          <t>None</t>
        </is>
      </c>
      <c r="D50" s="13" t="n">
        <v>0</v>
      </c>
      <c r="E50" s="13" t="n">
        <v>0</v>
      </c>
      <c r="F50" s="12" t="inlineStr">
        <is>
          <t>No state income tax</t>
        </is>
      </c>
      <c r="G50" s="15" t="inlineStr">
        <is>
          <t>No state income tax.</t>
        </is>
      </c>
    </row>
    <row r="51">
      <c r="A51" s="12" t="inlineStr">
        <is>
          <t>SD</t>
        </is>
      </c>
      <c r="B51" s="12" t="inlineStr">
        <is>
          <t>South Dakota</t>
        </is>
      </c>
      <c r="C51" s="12" t="inlineStr">
        <is>
          <t>None</t>
        </is>
      </c>
      <c r="D51" s="13" t="n">
        <v>0</v>
      </c>
      <c r="E51" s="13" t="n">
        <v>0</v>
      </c>
      <c r="F51" s="12" t="inlineStr">
        <is>
          <t>No state income tax</t>
        </is>
      </c>
      <c r="G51" s="15" t="inlineStr">
        <is>
          <t>No state income tax.</t>
        </is>
      </c>
    </row>
    <row r="52">
      <c r="A52" s="12" t="inlineStr">
        <is>
          <t>AK</t>
        </is>
      </c>
      <c r="B52" s="12" t="inlineStr">
        <is>
          <t>Alaska</t>
        </is>
      </c>
      <c r="C52" s="12" t="inlineStr">
        <is>
          <t>None</t>
        </is>
      </c>
      <c r="D52" s="13" t="n">
        <v>0</v>
      </c>
      <c r="E52" s="13" t="n">
        <v>0</v>
      </c>
      <c r="F52" s="12" t="inlineStr">
        <is>
          <t>No state income tax</t>
        </is>
      </c>
      <c r="G52" s="15" t="inlineStr">
        <is>
          <t>No state income tax.</t>
        </is>
      </c>
    </row>
    <row r="53">
      <c r="A53" s="12" t="inlineStr">
        <is>
          <t>TN</t>
        </is>
      </c>
      <c r="B53" s="12" t="inlineStr">
        <is>
          <t>Tennessee</t>
        </is>
      </c>
      <c r="C53" s="12" t="inlineStr">
        <is>
          <t>None</t>
        </is>
      </c>
      <c r="D53" s="13" t="n">
        <v>0</v>
      </c>
      <c r="E53" s="13" t="n">
        <v>0</v>
      </c>
      <c r="F53" s="12" t="inlineStr">
        <is>
          <t>No state income tax</t>
        </is>
      </c>
      <c r="G53" s="15" t="inlineStr">
        <is>
          <t>No state income tax.</t>
        </is>
      </c>
    </row>
    <row r="54">
      <c r="A54" s="12" t="inlineStr">
        <is>
          <t>CO</t>
        </is>
      </c>
      <c r="B54" s="12" t="inlineStr">
        <is>
          <t>Colorado</t>
        </is>
      </c>
      <c r="C54" s="12" t="inlineStr">
        <is>
          <t>Flat</t>
        </is>
      </c>
      <c r="D54" s="13" t="n">
        <v>0</v>
      </c>
      <c r="E54" s="13" t="n">
        <v>0</v>
      </c>
      <c r="F54" s="12" t="inlineStr">
        <is>
          <t>Taxed as ordinary income (no preferential state rate)</t>
        </is>
      </c>
      <c r="G54" s="15" t="inlineStr">
        <is>
          <t>Flat rate; SS generally subtracted.</t>
        </is>
      </c>
    </row>
    <row r="55">
      <c r="A55" s="12" t="inlineStr">
        <is>
          <t>IL</t>
        </is>
      </c>
      <c r="B55" s="12" t="inlineStr">
        <is>
          <t>Illinois</t>
        </is>
      </c>
      <c r="C55" s="12" t="inlineStr">
        <is>
          <t>Flat</t>
        </is>
      </c>
      <c r="D55" s="13" t="n">
        <v>0</v>
      </c>
      <c r="E55" s="13" t="n">
        <v>0</v>
      </c>
      <c r="F55" s="12" t="inlineStr">
        <is>
          <t>Taxed as ordinary income (no preferential state rate)</t>
        </is>
      </c>
      <c r="G55" s="15" t="inlineStr">
        <is>
          <t>Flat rate; retirement income generally exempt; SS exempt.</t>
        </is>
      </c>
    </row>
    <row r="56">
      <c r="A56" s="12" t="inlineStr">
        <is>
          <t>IN</t>
        </is>
      </c>
      <c r="B56" s="12" t="inlineStr">
        <is>
          <t>Indiana</t>
        </is>
      </c>
      <c r="C56" s="12" t="inlineStr">
        <is>
          <t>Flat</t>
        </is>
      </c>
      <c r="D56" s="13" t="n">
        <v>0</v>
      </c>
      <c r="E56" s="13" t="n">
        <v>0</v>
      </c>
      <c r="F56" s="12" t="inlineStr">
        <is>
          <t>Taxed as ordinary income (no preferential state rate)</t>
        </is>
      </c>
      <c r="G56" s="15" t="inlineStr">
        <is>
          <t>Flat rate.</t>
        </is>
      </c>
    </row>
    <row r="57">
      <c r="A57" s="12" t="inlineStr">
        <is>
          <t>MI</t>
        </is>
      </c>
      <c r="B57" s="12" t="inlineStr">
        <is>
          <t>Michigan</t>
        </is>
      </c>
      <c r="C57" s="12" t="inlineStr">
        <is>
          <t>Flat</t>
        </is>
      </c>
      <c r="D57" s="13" t="n">
        <v>0</v>
      </c>
      <c r="E57" s="13" t="n">
        <v>0</v>
      </c>
      <c r="F57" s="12" t="inlineStr">
        <is>
          <t>Taxed as ordinary income (no preferential state rate)</t>
        </is>
      </c>
      <c r="G57" s="15" t="inlineStr">
        <is>
          <t>Flat rate; retirement income partially/fully exempt depending on birth year (simplified: exempt).</t>
        </is>
      </c>
    </row>
    <row r="58">
      <c r="A58" s="12" t="inlineStr">
        <is>
          <t>NC</t>
        </is>
      </c>
      <c r="B58" s="12" t="inlineStr">
        <is>
          <t>North Carolina</t>
        </is>
      </c>
      <c r="C58" s="12" t="inlineStr">
        <is>
          <t>Flat</t>
        </is>
      </c>
      <c r="D58" s="13" t="n">
        <v>12750</v>
      </c>
      <c r="E58" s="13" t="n">
        <v>25500</v>
      </c>
      <c r="F58" s="12" t="inlineStr">
        <is>
          <t>Taxed as ordinary income (no preferential state rate)</t>
        </is>
      </c>
      <c r="G58" s="15" t="inlineStr">
        <is>
          <t>Flat rate.</t>
        </is>
      </c>
    </row>
    <row r="59">
      <c r="A59" s="12" t="inlineStr">
        <is>
          <t>PA</t>
        </is>
      </c>
      <c r="B59" s="12" t="inlineStr">
        <is>
          <t>Pennsylvania</t>
        </is>
      </c>
      <c r="C59" s="12" t="inlineStr">
        <is>
          <t>Flat</t>
        </is>
      </c>
      <c r="D59" s="13" t="n">
        <v>0</v>
      </c>
      <c r="E59" s="13" t="n">
        <v>0</v>
      </c>
      <c r="F59" s="12" t="inlineStr">
        <is>
          <t>Taxed as ordinary income (no preferential state rate)</t>
        </is>
      </c>
      <c r="G59" s="15" t="inlineStr">
        <is>
          <t>Flat rate; retirement income and SS generally exempt.</t>
        </is>
      </c>
    </row>
    <row r="60">
      <c r="A60" s="12" t="inlineStr">
        <is>
          <t>UT</t>
        </is>
      </c>
      <c r="B60" s="12" t="inlineStr">
        <is>
          <t>Utah</t>
        </is>
      </c>
      <c r="C60" s="12" t="inlineStr">
        <is>
          <t>Flat</t>
        </is>
      </c>
      <c r="D60" s="13" t="n">
        <v>0</v>
      </c>
      <c r="E60" s="13" t="n">
        <v>0</v>
      </c>
      <c r="F60" s="12" t="inlineStr">
        <is>
          <t>Taxed as ordinary income (no preferential state rate)</t>
        </is>
      </c>
      <c r="G60" s="15" t="inlineStr">
        <is>
          <t>Flat rate; SS partially taxable (simplified: taxable), credit not modeled.</t>
        </is>
      </c>
    </row>
    <row r="61">
      <c r="A61" s="12" t="inlineStr">
        <is>
          <t>KY</t>
        </is>
      </c>
      <c r="B61" s="12" t="inlineStr">
        <is>
          <t>Kentucky</t>
        </is>
      </c>
      <c r="C61" s="12" t="inlineStr">
        <is>
          <t>Flat</t>
        </is>
      </c>
      <c r="D61" s="13" t="n">
        <v>3160</v>
      </c>
      <c r="E61" s="13" t="n">
        <v>3160</v>
      </c>
      <c r="F61" s="12" t="inlineStr">
        <is>
          <t>Taxed as ordinary income (no preferential state rate)</t>
        </is>
      </c>
      <c r="G61" s="15" t="inlineStr">
        <is>
          <t>Flat rate; SS exempt; pension exclusion not modeled.</t>
        </is>
      </c>
    </row>
    <row r="62">
      <c r="A62" s="12" t="inlineStr">
        <is>
          <t>AZ</t>
        </is>
      </c>
      <c r="B62" s="12" t="inlineStr">
        <is>
          <t>Arizona</t>
        </is>
      </c>
      <c r="C62" s="12" t="inlineStr">
        <is>
          <t>Flat</t>
        </is>
      </c>
      <c r="D62" s="13" t="n">
        <v>14600</v>
      </c>
      <c r="E62" s="13" t="n">
        <v>29200</v>
      </c>
      <c r="F62" s="12" t="inlineStr">
        <is>
          <t>Taxed as ordinary income (no preferential state rate)</t>
        </is>
      </c>
      <c r="G62" s="15" t="inlineStr">
        <is>
          <t>Flat rate; SS exempt.</t>
        </is>
      </c>
    </row>
    <row r="63">
      <c r="A63" s="12" t="inlineStr">
        <is>
          <t>GA</t>
        </is>
      </c>
      <c r="B63" s="12" t="inlineStr">
        <is>
          <t>Georgia</t>
        </is>
      </c>
      <c r="C63" s="12" t="inlineStr">
        <is>
          <t>Flat</t>
        </is>
      </c>
      <c r="D63" s="13" t="n">
        <v>12000</v>
      </c>
      <c r="E63" s="13" t="n">
        <v>24000</v>
      </c>
      <c r="F63" s="12" t="inlineStr">
        <is>
          <t>Taxed as ordinary income (no preferential state rate)</t>
        </is>
      </c>
      <c r="G63" s="15" t="inlineStr">
        <is>
          <t>Flat rate (transitioning); retirement exclusion for 62+ not modeled.</t>
        </is>
      </c>
    </row>
    <row r="64">
      <c r="A64" s="12" t="inlineStr">
        <is>
          <t>MA</t>
        </is>
      </c>
      <c r="B64" s="12" t="inlineStr">
        <is>
          <t>Massachusetts</t>
        </is>
      </c>
      <c r="C64" s="12" t="inlineStr">
        <is>
          <t>Flat+Surtax</t>
        </is>
      </c>
      <c r="D64" s="13" t="n">
        <v>0</v>
      </c>
      <c r="E64" s="13" t="n">
        <v>0</v>
      </c>
      <c r="F64" s="12" t="inlineStr">
        <is>
          <t>Taxed as ordinary income (no preferential state rate)</t>
        </is>
      </c>
      <c r="G64" s="15" t="inlineStr">
        <is>
          <t>Flat 5% + 4% surtax over $1,000,000 (millionaire's tax); SS exempt.</t>
        </is>
      </c>
    </row>
    <row r="65">
      <c r="A65" s="12" t="inlineStr">
        <is>
          <t>CA</t>
        </is>
      </c>
      <c r="B65" s="12" t="inlineStr">
        <is>
          <t>California</t>
        </is>
      </c>
      <c r="C65" s="12" t="inlineStr">
        <is>
          <t>Progressive</t>
        </is>
      </c>
      <c r="D65" s="13" t="n">
        <v>5540</v>
      </c>
      <c r="E65" s="13" t="n">
        <v>11080</v>
      </c>
      <c r="F65" s="12" t="inlineStr">
        <is>
          <t>Taxed as ordinary income (no preferential state rate)</t>
        </is>
      </c>
      <c r="G65" s="15" t="inlineStr">
        <is>
          <t>Progressive; SS exempt; no preferential rate on capital gains.</t>
        </is>
      </c>
    </row>
    <row r="66">
      <c r="A66" s="12" t="inlineStr">
        <is>
          <t>NY</t>
        </is>
      </c>
      <c r="B66" s="12" t="inlineStr">
        <is>
          <t>New York</t>
        </is>
      </c>
      <c r="C66" s="12" t="inlineStr">
        <is>
          <t>Progressive</t>
        </is>
      </c>
      <c r="D66" s="13" t="n">
        <v>8000</v>
      </c>
      <c r="E66" s="13" t="n">
        <v>16050</v>
      </c>
      <c r="F66" s="12" t="inlineStr">
        <is>
          <t>Taxed as ordinary income (no preferential state rate)</t>
        </is>
      </c>
      <c r="G66" s="15" t="inlineStr">
        <is>
          <t>Progressive; SS exempt; $20,000 pension exclusion not modeled.</t>
        </is>
      </c>
    </row>
    <row r="67">
      <c r="A67" s="12" t="inlineStr">
        <is>
          <t>NJ</t>
        </is>
      </c>
      <c r="B67" s="12" t="inlineStr">
        <is>
          <t>New Jersey</t>
        </is>
      </c>
      <c r="C67" s="12" t="inlineStr">
        <is>
          <t>Progressive</t>
        </is>
      </c>
      <c r="D67" s="13" t="n">
        <v>0</v>
      </c>
      <c r="E67" s="13" t="n">
        <v>0</v>
      </c>
      <c r="F67" s="12" t="inlineStr">
        <is>
          <t>Taxed as ordinary income (no preferential state rate)</t>
        </is>
      </c>
      <c r="G67" s="15" t="inlineStr">
        <is>
          <t>Progressive; SS exempt; retirement income exclusion (simplified: exempt).</t>
        </is>
      </c>
    </row>
    <row r="68">
      <c r="A68" s="12" t="inlineStr">
        <is>
          <t>OR</t>
        </is>
      </c>
      <c r="B68" s="12" t="inlineStr">
        <is>
          <t>Oregon</t>
        </is>
      </c>
      <c r="C68" s="12" t="inlineStr">
        <is>
          <t>Progressive</t>
        </is>
      </c>
      <c r="D68" s="13" t="n">
        <v>2745</v>
      </c>
      <c r="E68" s="13" t="n">
        <v>5495</v>
      </c>
      <c r="F68" s="12" t="inlineStr">
        <is>
          <t>Taxed as ordinary income (no preferential state rate)</t>
        </is>
      </c>
      <c r="G68" s="15" t="inlineStr">
        <is>
          <t>Progressive; SS exempt.</t>
        </is>
      </c>
    </row>
    <row r="69">
      <c r="A69" s="12" t="inlineStr">
        <is>
          <t>MN</t>
        </is>
      </c>
      <c r="B69" s="12" t="inlineStr">
        <is>
          <t>Minnesota</t>
        </is>
      </c>
      <c r="C69" s="12" t="inlineStr">
        <is>
          <t>Progressive</t>
        </is>
      </c>
      <c r="D69" s="13" t="n">
        <v>14575</v>
      </c>
      <c r="E69" s="13" t="n">
        <v>29150</v>
      </c>
      <c r="F69" s="12" t="inlineStr">
        <is>
          <t>Taxed as ordinary income (no preferential state rate)</t>
        </is>
      </c>
      <c r="G69" s="15" t="inlineStr">
        <is>
          <t>Progressive; SS taxable with subtraction not modeled (simplified: taxable).</t>
        </is>
      </c>
    </row>
    <row r="70">
      <c r="A70" s="12" t="inlineStr">
        <is>
          <t>HI</t>
        </is>
      </c>
      <c r="B70" s="12" t="inlineStr">
        <is>
          <t>Hawaii</t>
        </is>
      </c>
      <c r="C70" s="12" t="inlineStr">
        <is>
          <t>Progressive</t>
        </is>
      </c>
      <c r="D70" s="13" t="n">
        <v>2200</v>
      </c>
      <c r="E70" s="13" t="n">
        <v>4400</v>
      </c>
      <c r="F70" s="12" t="inlineStr">
        <is>
          <t>Taxed as ordinary income (no preferential state rate)</t>
        </is>
      </c>
      <c r="G70" s="15" t="inlineStr">
        <is>
          <t>Progressive; SS exempt; qualified pension income exempt.</t>
        </is>
      </c>
    </row>
    <row r="71">
      <c r="A71" s="12" t="inlineStr">
        <is>
          <t>VA</t>
        </is>
      </c>
      <c r="B71" s="12" t="inlineStr">
        <is>
          <t>Virginia</t>
        </is>
      </c>
      <c r="C71" s="12" t="inlineStr">
        <is>
          <t>Progressive</t>
        </is>
      </c>
      <c r="D71" s="13" t="n">
        <v>8500</v>
      </c>
      <c r="E71" s="13" t="n">
        <v>17000</v>
      </c>
      <c r="F71" s="12" t="inlineStr">
        <is>
          <t>Taxed as ordinary income (no preferential state rate)</t>
        </is>
      </c>
      <c r="G71" s="15" t="inlineStr">
        <is>
          <t>Progressive; SS exempt.</t>
        </is>
      </c>
    </row>
    <row r="72">
      <c r="A72" s="12" t="inlineStr">
        <is>
          <t>SC</t>
        </is>
      </c>
      <c r="B72" s="12" t="inlineStr">
        <is>
          <t>South Carolina</t>
        </is>
      </c>
      <c r="C72" s="12" t="inlineStr">
        <is>
          <t>Progressive</t>
        </is>
      </c>
      <c r="D72" s="13" t="n">
        <v>14600</v>
      </c>
      <c r="E72" s="13" t="n">
        <v>29200</v>
      </c>
      <c r="F72" s="12" t="inlineStr">
        <is>
          <t>Taxed as ordinary income (no preferential state rate)</t>
        </is>
      </c>
      <c r="G72" s="15" t="inlineStr">
        <is>
          <t>Progressive; SS exempt; retirement deduction not modeled.</t>
        </is>
      </c>
    </row>
    <row r="73">
      <c r="A73" s="12" t="inlineStr">
        <is>
          <t>MD</t>
        </is>
      </c>
      <c r="B73" s="12" t="inlineStr">
        <is>
          <t>Maryland</t>
        </is>
      </c>
      <c r="C73" s="12" t="inlineStr">
        <is>
          <t>Progressive</t>
        </is>
      </c>
      <c r="D73" s="13" t="n">
        <v>2400</v>
      </c>
      <c r="E73" s="13" t="n">
        <v>4850</v>
      </c>
      <c r="F73" s="12" t="inlineStr">
        <is>
          <t>Taxed as ordinary income (no preferential state rate)</t>
        </is>
      </c>
      <c r="G73" s="15" t="inlineStr">
        <is>
          <t>Progressive; SS exempt; pension exclusion not modeled. County piggyback tax handled on Local tab.</t>
        </is>
      </c>
    </row>
    <row r="74">
      <c r="A74" s="12" t="inlineStr">
        <is>
          <t>WI</t>
        </is>
      </c>
      <c r="B74" s="12" t="inlineStr">
        <is>
          <t>Wisconsin</t>
        </is>
      </c>
      <c r="C74" s="12" t="inlineStr">
        <is>
          <t>Progressive</t>
        </is>
      </c>
      <c r="D74" s="13" t="n">
        <v>13230</v>
      </c>
      <c r="E74" s="13" t="n">
        <v>25640</v>
      </c>
      <c r="F74" s="12" t="inlineStr">
        <is>
          <t>Taxed as ordinary income (no preferential state rate)</t>
        </is>
      </c>
      <c r="G74" s="15" t="inlineStr">
        <is>
          <t>Progressive; SS exempt.</t>
        </is>
      </c>
    </row>
    <row r="75">
      <c r="A75" s="12" t="inlineStr">
        <is>
          <t>OH</t>
        </is>
      </c>
      <c r="B75" s="12" t="inlineStr">
        <is>
          <t>Ohio</t>
        </is>
      </c>
      <c r="C75" s="12" t="inlineStr">
        <is>
          <t>Progressive</t>
        </is>
      </c>
      <c r="D75" s="13" t="n">
        <v>0</v>
      </c>
      <c r="E75" s="13" t="n">
        <v>0</v>
      </c>
      <c r="F75" s="12" t="inlineStr">
        <is>
          <t>Taxed as ordinary income (no preferential state rate)</t>
        </is>
      </c>
      <c r="G75" s="15" t="inlineStr">
        <is>
          <t>Progressive; SS exempt; municipal EIT handled on Local tab.</t>
        </is>
      </c>
    </row>
    <row r="76">
      <c r="A76" s="12" t="inlineStr">
        <is>
          <t>DC</t>
        </is>
      </c>
      <c r="B76" s="12" t="inlineStr">
        <is>
          <t>District of Columbia</t>
        </is>
      </c>
      <c r="C76" s="12" t="inlineStr">
        <is>
          <t>Progressive</t>
        </is>
      </c>
      <c r="D76" s="13" t="n">
        <v>14600</v>
      </c>
      <c r="E76" s="13" t="n">
        <v>29200</v>
      </c>
      <c r="F76" s="12" t="inlineStr">
        <is>
          <t>Taxed as ordinary income (no preferential state rate)</t>
        </is>
      </c>
      <c r="G76" s="15" t="inlineStr">
        <is>
          <t>Progressive; SS exempt.</t>
        </is>
      </c>
    </row>
    <row r="77">
      <c r="A77" s="12" t="inlineStr">
        <is>
          <t>OTHER</t>
        </is>
      </c>
      <c r="B77" s="12" t="inlineStr">
        <is>
          <t>Other (Manual Entry)</t>
        </is>
      </c>
      <c r="C77" s="12" t="inlineStr">
        <is>
          <t>Manual</t>
        </is>
      </c>
      <c r="D77" s="13" t="n">
        <v>0</v>
      </c>
      <c r="E77" s="13" t="n">
        <v>0</v>
      </c>
      <c r="F77" s="12" t="inlineStr">
        <is>
          <t>Taxed as ordinary income</t>
        </is>
      </c>
      <c r="G77" s="15" t="inlineStr">
        <is>
          <t>Uses the manual effective state tax rate entered on the calculator tab.</t>
        </is>
      </c>
    </row>
    <row r="79" ht="18" customHeight="1">
      <c r="A79" s="3" t="inlineStr">
        <is>
          <t>State Income Tax Brackets (unified format; category Single covers Single/MFS/HOH, MFJ covers MFJ)</t>
        </is>
      </c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</row>
    <row r="80">
      <c r="A80" s="5" t="inlineStr">
        <is>
          <t>State Code</t>
        </is>
      </c>
      <c r="B80" s="5" t="inlineStr">
        <is>
          <t>Filing Category</t>
        </is>
      </c>
      <c r="C80" s="5" t="inlineStr">
        <is>
          <t>Key</t>
        </is>
      </c>
      <c r="D80" s="5" t="inlineStr">
        <is>
          <t>Rate 1</t>
        </is>
      </c>
      <c r="E80" s="5" t="inlineStr">
        <is>
          <t>Min 1</t>
        </is>
      </c>
      <c r="F80" s="5" t="inlineStr">
        <is>
          <t>Max 1</t>
        </is>
      </c>
      <c r="G80" s="5" t="inlineStr">
        <is>
          <t>Rate 2</t>
        </is>
      </c>
      <c r="H80" s="5" t="inlineStr">
        <is>
          <t>Min 2</t>
        </is>
      </c>
      <c r="I80" s="5" t="inlineStr">
        <is>
          <t>Max 2</t>
        </is>
      </c>
      <c r="J80" s="5" t="inlineStr">
        <is>
          <t>Rate 3</t>
        </is>
      </c>
      <c r="K80" s="5" t="inlineStr">
        <is>
          <t>Min 3</t>
        </is>
      </c>
      <c r="L80" s="5" t="inlineStr">
        <is>
          <t>Max 3</t>
        </is>
      </c>
      <c r="M80" s="5" t="inlineStr">
        <is>
          <t>Rate 4</t>
        </is>
      </c>
      <c r="N80" s="5" t="inlineStr">
        <is>
          <t>Min 4</t>
        </is>
      </c>
      <c r="O80" s="5" t="inlineStr">
        <is>
          <t>Max 4</t>
        </is>
      </c>
      <c r="P80" s="5" t="inlineStr">
        <is>
          <t>Rate 5</t>
        </is>
      </c>
      <c r="Q80" s="5" t="inlineStr">
        <is>
          <t>Min 5</t>
        </is>
      </c>
      <c r="R80" s="5" t="inlineStr">
        <is>
          <t>Max 5</t>
        </is>
      </c>
      <c r="S80" s="5" t="inlineStr">
        <is>
          <t>Rate 6</t>
        </is>
      </c>
      <c r="T80" s="5" t="inlineStr">
        <is>
          <t>Min 6</t>
        </is>
      </c>
      <c r="U80" s="5" t="inlineStr">
        <is>
          <t>Max 6</t>
        </is>
      </c>
      <c r="V80" s="5" t="inlineStr">
        <is>
          <t>Rate 7</t>
        </is>
      </c>
      <c r="W80" s="5" t="inlineStr">
        <is>
          <t>Min 7</t>
        </is>
      </c>
      <c r="X80" s="5" t="inlineStr">
        <is>
          <t>Max 7</t>
        </is>
      </c>
      <c r="Y80" s="5" t="inlineStr">
        <is>
          <t>Rate 8</t>
        </is>
      </c>
      <c r="Z80" s="5" t="inlineStr">
        <is>
          <t>Min 8</t>
        </is>
      </c>
      <c r="AA80" s="5" t="inlineStr">
        <is>
          <t>Max 8</t>
        </is>
      </c>
    </row>
    <row r="81">
      <c r="A81" s="12" t="inlineStr">
        <is>
          <t>FL</t>
        </is>
      </c>
      <c r="B81" s="12" t="inlineStr">
        <is>
          <t>Single</t>
        </is>
      </c>
      <c r="C81" s="7">
        <f>A81&amp;"|"&amp;B81</f>
        <v/>
      </c>
      <c r="D81" s="14" t="n">
        <v>0</v>
      </c>
      <c r="E81" s="13" t="n">
        <v>0</v>
      </c>
      <c r="F81" s="10">
        <f>H81</f>
        <v/>
      </c>
      <c r="G81" s="14" t="n">
        <v>0</v>
      </c>
      <c r="H81" s="13" t="n">
        <v>999999999</v>
      </c>
      <c r="I81" s="10">
        <f>K81</f>
        <v/>
      </c>
      <c r="J81" s="14" t="n">
        <v>0</v>
      </c>
      <c r="K81" s="13" t="n">
        <v>999999999</v>
      </c>
      <c r="L81" s="10">
        <f>N81</f>
        <v/>
      </c>
      <c r="M81" s="14" t="n">
        <v>0</v>
      </c>
      <c r="N81" s="13" t="n">
        <v>999999999</v>
      </c>
      <c r="O81" s="10">
        <f>Q81</f>
        <v/>
      </c>
      <c r="P81" s="14" t="n">
        <v>0</v>
      </c>
      <c r="Q81" s="13" t="n">
        <v>999999999</v>
      </c>
      <c r="R81" s="10">
        <f>T81</f>
        <v/>
      </c>
      <c r="S81" s="14" t="n">
        <v>0</v>
      </c>
      <c r="T81" s="13" t="n">
        <v>999999999</v>
      </c>
      <c r="U81" s="10">
        <f>W81</f>
        <v/>
      </c>
      <c r="V81" s="14" t="n">
        <v>0</v>
      </c>
      <c r="W81" s="13" t="n">
        <v>999999999</v>
      </c>
      <c r="X81" s="10">
        <f>Z81</f>
        <v/>
      </c>
      <c r="Y81" s="14" t="n">
        <v>0</v>
      </c>
      <c r="Z81" s="13" t="n">
        <v>999999999</v>
      </c>
      <c r="AA81" s="10" t="n">
        <v>999999999</v>
      </c>
    </row>
    <row r="82">
      <c r="A82" s="12" t="inlineStr">
        <is>
          <t>FL</t>
        </is>
      </c>
      <c r="B82" s="12" t="inlineStr">
        <is>
          <t>MFJ</t>
        </is>
      </c>
      <c r="C82" s="7">
        <f>A82&amp;"|"&amp;B82</f>
        <v/>
      </c>
      <c r="D82" s="14" t="n">
        <v>0</v>
      </c>
      <c r="E82" s="13" t="n">
        <v>0</v>
      </c>
      <c r="F82" s="10">
        <f>H82</f>
        <v/>
      </c>
      <c r="G82" s="14" t="n">
        <v>0</v>
      </c>
      <c r="H82" s="13" t="n">
        <v>999999999</v>
      </c>
      <c r="I82" s="10">
        <f>K82</f>
        <v/>
      </c>
      <c r="J82" s="14" t="n">
        <v>0</v>
      </c>
      <c r="K82" s="13" t="n">
        <v>999999999</v>
      </c>
      <c r="L82" s="10">
        <f>N82</f>
        <v/>
      </c>
      <c r="M82" s="14" t="n">
        <v>0</v>
      </c>
      <c r="N82" s="13" t="n">
        <v>999999999</v>
      </c>
      <c r="O82" s="10">
        <f>Q82</f>
        <v/>
      </c>
      <c r="P82" s="14" t="n">
        <v>0</v>
      </c>
      <c r="Q82" s="13" t="n">
        <v>999999999</v>
      </c>
      <c r="R82" s="10">
        <f>T82</f>
        <v/>
      </c>
      <c r="S82" s="14" t="n">
        <v>0</v>
      </c>
      <c r="T82" s="13" t="n">
        <v>999999999</v>
      </c>
      <c r="U82" s="10">
        <f>W82</f>
        <v/>
      </c>
      <c r="V82" s="14" t="n">
        <v>0</v>
      </c>
      <c r="W82" s="13" t="n">
        <v>999999999</v>
      </c>
      <c r="X82" s="10">
        <f>Z82</f>
        <v/>
      </c>
      <c r="Y82" s="14" t="n">
        <v>0</v>
      </c>
      <c r="Z82" s="13" t="n">
        <v>999999999</v>
      </c>
      <c r="AA82" s="10" t="n">
        <v>999999999</v>
      </c>
    </row>
    <row r="83">
      <c r="A83" s="12" t="inlineStr">
        <is>
          <t>TX</t>
        </is>
      </c>
      <c r="B83" s="12" t="inlineStr">
        <is>
          <t>Single</t>
        </is>
      </c>
      <c r="C83" s="7">
        <f>A83&amp;"|"&amp;B83</f>
        <v/>
      </c>
      <c r="D83" s="14" t="n">
        <v>0</v>
      </c>
      <c r="E83" s="13" t="n">
        <v>0</v>
      </c>
      <c r="F83" s="10">
        <f>H83</f>
        <v/>
      </c>
      <c r="G83" s="14" t="n">
        <v>0</v>
      </c>
      <c r="H83" s="13" t="n">
        <v>999999999</v>
      </c>
      <c r="I83" s="10">
        <f>K83</f>
        <v/>
      </c>
      <c r="J83" s="14" t="n">
        <v>0</v>
      </c>
      <c r="K83" s="13" t="n">
        <v>999999999</v>
      </c>
      <c r="L83" s="10">
        <f>N83</f>
        <v/>
      </c>
      <c r="M83" s="14" t="n">
        <v>0</v>
      </c>
      <c r="N83" s="13" t="n">
        <v>999999999</v>
      </c>
      <c r="O83" s="10">
        <f>Q83</f>
        <v/>
      </c>
      <c r="P83" s="14" t="n">
        <v>0</v>
      </c>
      <c r="Q83" s="13" t="n">
        <v>999999999</v>
      </c>
      <c r="R83" s="10">
        <f>T83</f>
        <v/>
      </c>
      <c r="S83" s="14" t="n">
        <v>0</v>
      </c>
      <c r="T83" s="13" t="n">
        <v>999999999</v>
      </c>
      <c r="U83" s="10">
        <f>W83</f>
        <v/>
      </c>
      <c r="V83" s="14" t="n">
        <v>0</v>
      </c>
      <c r="W83" s="13" t="n">
        <v>999999999</v>
      </c>
      <c r="X83" s="10">
        <f>Z83</f>
        <v/>
      </c>
      <c r="Y83" s="14" t="n">
        <v>0</v>
      </c>
      <c r="Z83" s="13" t="n">
        <v>999999999</v>
      </c>
      <c r="AA83" s="10" t="n">
        <v>999999999</v>
      </c>
    </row>
    <row r="84">
      <c r="A84" s="12" t="inlineStr">
        <is>
          <t>TX</t>
        </is>
      </c>
      <c r="B84" s="12" t="inlineStr">
        <is>
          <t>MFJ</t>
        </is>
      </c>
      <c r="C84" s="7">
        <f>A84&amp;"|"&amp;B84</f>
        <v/>
      </c>
      <c r="D84" s="14" t="n">
        <v>0</v>
      </c>
      <c r="E84" s="13" t="n">
        <v>0</v>
      </c>
      <c r="F84" s="10">
        <f>H84</f>
        <v/>
      </c>
      <c r="G84" s="14" t="n">
        <v>0</v>
      </c>
      <c r="H84" s="13" t="n">
        <v>999999999</v>
      </c>
      <c r="I84" s="10">
        <f>K84</f>
        <v/>
      </c>
      <c r="J84" s="14" t="n">
        <v>0</v>
      </c>
      <c r="K84" s="13" t="n">
        <v>999999999</v>
      </c>
      <c r="L84" s="10">
        <f>N84</f>
        <v/>
      </c>
      <c r="M84" s="14" t="n">
        <v>0</v>
      </c>
      <c r="N84" s="13" t="n">
        <v>999999999</v>
      </c>
      <c r="O84" s="10">
        <f>Q84</f>
        <v/>
      </c>
      <c r="P84" s="14" t="n">
        <v>0</v>
      </c>
      <c r="Q84" s="13" t="n">
        <v>999999999</v>
      </c>
      <c r="R84" s="10">
        <f>T84</f>
        <v/>
      </c>
      <c r="S84" s="14" t="n">
        <v>0</v>
      </c>
      <c r="T84" s="13" t="n">
        <v>999999999</v>
      </c>
      <c r="U84" s="10">
        <f>W84</f>
        <v/>
      </c>
      <c r="V84" s="14" t="n">
        <v>0</v>
      </c>
      <c r="W84" s="13" t="n">
        <v>999999999</v>
      </c>
      <c r="X84" s="10">
        <f>Z84</f>
        <v/>
      </c>
      <c r="Y84" s="14" t="n">
        <v>0</v>
      </c>
      <c r="Z84" s="13" t="n">
        <v>999999999</v>
      </c>
      <c r="AA84" s="10" t="n">
        <v>999999999</v>
      </c>
    </row>
    <row r="85">
      <c r="A85" s="12" t="inlineStr">
        <is>
          <t>WA</t>
        </is>
      </c>
      <c r="B85" s="12" t="inlineStr">
        <is>
          <t>Single</t>
        </is>
      </c>
      <c r="C85" s="7">
        <f>A85&amp;"|"&amp;B85</f>
        <v/>
      </c>
      <c r="D85" s="14" t="n">
        <v>0</v>
      </c>
      <c r="E85" s="13" t="n">
        <v>0</v>
      </c>
      <c r="F85" s="10">
        <f>H85</f>
        <v/>
      </c>
      <c r="G85" s="14" t="n">
        <v>0</v>
      </c>
      <c r="H85" s="13" t="n">
        <v>999999999</v>
      </c>
      <c r="I85" s="10">
        <f>K85</f>
        <v/>
      </c>
      <c r="J85" s="14" t="n">
        <v>0</v>
      </c>
      <c r="K85" s="13" t="n">
        <v>999999999</v>
      </c>
      <c r="L85" s="10">
        <f>N85</f>
        <v/>
      </c>
      <c r="M85" s="14" t="n">
        <v>0</v>
      </c>
      <c r="N85" s="13" t="n">
        <v>999999999</v>
      </c>
      <c r="O85" s="10">
        <f>Q85</f>
        <v/>
      </c>
      <c r="P85" s="14" t="n">
        <v>0</v>
      </c>
      <c r="Q85" s="13" t="n">
        <v>999999999</v>
      </c>
      <c r="R85" s="10">
        <f>T85</f>
        <v/>
      </c>
      <c r="S85" s="14" t="n">
        <v>0</v>
      </c>
      <c r="T85" s="13" t="n">
        <v>999999999</v>
      </c>
      <c r="U85" s="10">
        <f>W85</f>
        <v/>
      </c>
      <c r="V85" s="14" t="n">
        <v>0</v>
      </c>
      <c r="W85" s="13" t="n">
        <v>999999999</v>
      </c>
      <c r="X85" s="10">
        <f>Z85</f>
        <v/>
      </c>
      <c r="Y85" s="14" t="n">
        <v>0</v>
      </c>
      <c r="Z85" s="13" t="n">
        <v>999999999</v>
      </c>
      <c r="AA85" s="10" t="n">
        <v>999999999</v>
      </c>
    </row>
    <row r="86">
      <c r="A86" s="12" t="inlineStr">
        <is>
          <t>WA</t>
        </is>
      </c>
      <c r="B86" s="12" t="inlineStr">
        <is>
          <t>MFJ</t>
        </is>
      </c>
      <c r="C86" s="7">
        <f>A86&amp;"|"&amp;B86</f>
        <v/>
      </c>
      <c r="D86" s="14" t="n">
        <v>0</v>
      </c>
      <c r="E86" s="13" t="n">
        <v>0</v>
      </c>
      <c r="F86" s="10">
        <f>H86</f>
        <v/>
      </c>
      <c r="G86" s="14" t="n">
        <v>0</v>
      </c>
      <c r="H86" s="13" t="n">
        <v>999999999</v>
      </c>
      <c r="I86" s="10">
        <f>K86</f>
        <v/>
      </c>
      <c r="J86" s="14" t="n">
        <v>0</v>
      </c>
      <c r="K86" s="13" t="n">
        <v>999999999</v>
      </c>
      <c r="L86" s="10">
        <f>N86</f>
        <v/>
      </c>
      <c r="M86" s="14" t="n">
        <v>0</v>
      </c>
      <c r="N86" s="13" t="n">
        <v>999999999</v>
      </c>
      <c r="O86" s="10">
        <f>Q86</f>
        <v/>
      </c>
      <c r="P86" s="14" t="n">
        <v>0</v>
      </c>
      <c r="Q86" s="13" t="n">
        <v>999999999</v>
      </c>
      <c r="R86" s="10">
        <f>T86</f>
        <v/>
      </c>
      <c r="S86" s="14" t="n">
        <v>0</v>
      </c>
      <c r="T86" s="13" t="n">
        <v>999999999</v>
      </c>
      <c r="U86" s="10">
        <f>W86</f>
        <v/>
      </c>
      <c r="V86" s="14" t="n">
        <v>0</v>
      </c>
      <c r="W86" s="13" t="n">
        <v>999999999</v>
      </c>
      <c r="X86" s="10">
        <f>Z86</f>
        <v/>
      </c>
      <c r="Y86" s="14" t="n">
        <v>0</v>
      </c>
      <c r="Z86" s="13" t="n">
        <v>999999999</v>
      </c>
      <c r="AA86" s="10" t="n">
        <v>999999999</v>
      </c>
    </row>
    <row r="87">
      <c r="A87" s="12" t="inlineStr">
        <is>
          <t>NV</t>
        </is>
      </c>
      <c r="B87" s="12" t="inlineStr">
        <is>
          <t>Single</t>
        </is>
      </c>
      <c r="C87" s="7">
        <f>A87&amp;"|"&amp;B87</f>
        <v/>
      </c>
      <c r="D87" s="14" t="n">
        <v>0</v>
      </c>
      <c r="E87" s="13" t="n">
        <v>0</v>
      </c>
      <c r="F87" s="10">
        <f>H87</f>
        <v/>
      </c>
      <c r="G87" s="14" t="n">
        <v>0</v>
      </c>
      <c r="H87" s="13" t="n">
        <v>999999999</v>
      </c>
      <c r="I87" s="10">
        <f>K87</f>
        <v/>
      </c>
      <c r="J87" s="14" t="n">
        <v>0</v>
      </c>
      <c r="K87" s="13" t="n">
        <v>999999999</v>
      </c>
      <c r="L87" s="10">
        <f>N87</f>
        <v/>
      </c>
      <c r="M87" s="14" t="n">
        <v>0</v>
      </c>
      <c r="N87" s="13" t="n">
        <v>999999999</v>
      </c>
      <c r="O87" s="10">
        <f>Q87</f>
        <v/>
      </c>
      <c r="P87" s="14" t="n">
        <v>0</v>
      </c>
      <c r="Q87" s="13" t="n">
        <v>999999999</v>
      </c>
      <c r="R87" s="10">
        <f>T87</f>
        <v/>
      </c>
      <c r="S87" s="14" t="n">
        <v>0</v>
      </c>
      <c r="T87" s="13" t="n">
        <v>999999999</v>
      </c>
      <c r="U87" s="10">
        <f>W87</f>
        <v/>
      </c>
      <c r="V87" s="14" t="n">
        <v>0</v>
      </c>
      <c r="W87" s="13" t="n">
        <v>999999999</v>
      </c>
      <c r="X87" s="10">
        <f>Z87</f>
        <v/>
      </c>
      <c r="Y87" s="14" t="n">
        <v>0</v>
      </c>
      <c r="Z87" s="13" t="n">
        <v>999999999</v>
      </c>
      <c r="AA87" s="10" t="n">
        <v>999999999</v>
      </c>
    </row>
    <row r="88">
      <c r="A88" s="12" t="inlineStr">
        <is>
          <t>NV</t>
        </is>
      </c>
      <c r="B88" s="12" t="inlineStr">
        <is>
          <t>MFJ</t>
        </is>
      </c>
      <c r="C88" s="7">
        <f>A88&amp;"|"&amp;B88</f>
        <v/>
      </c>
      <c r="D88" s="14" t="n">
        <v>0</v>
      </c>
      <c r="E88" s="13" t="n">
        <v>0</v>
      </c>
      <c r="F88" s="10">
        <f>H88</f>
        <v/>
      </c>
      <c r="G88" s="14" t="n">
        <v>0</v>
      </c>
      <c r="H88" s="13" t="n">
        <v>999999999</v>
      </c>
      <c r="I88" s="10">
        <f>K88</f>
        <v/>
      </c>
      <c r="J88" s="14" t="n">
        <v>0</v>
      </c>
      <c r="K88" s="13" t="n">
        <v>999999999</v>
      </c>
      <c r="L88" s="10">
        <f>N88</f>
        <v/>
      </c>
      <c r="M88" s="14" t="n">
        <v>0</v>
      </c>
      <c r="N88" s="13" t="n">
        <v>999999999</v>
      </c>
      <c r="O88" s="10">
        <f>Q88</f>
        <v/>
      </c>
      <c r="P88" s="14" t="n">
        <v>0</v>
      </c>
      <c r="Q88" s="13" t="n">
        <v>999999999</v>
      </c>
      <c r="R88" s="10">
        <f>T88</f>
        <v/>
      </c>
      <c r="S88" s="14" t="n">
        <v>0</v>
      </c>
      <c r="T88" s="13" t="n">
        <v>999999999</v>
      </c>
      <c r="U88" s="10">
        <f>W88</f>
        <v/>
      </c>
      <c r="V88" s="14" t="n">
        <v>0</v>
      </c>
      <c r="W88" s="13" t="n">
        <v>999999999</v>
      </c>
      <c r="X88" s="10">
        <f>Z88</f>
        <v/>
      </c>
      <c r="Y88" s="14" t="n">
        <v>0</v>
      </c>
      <c r="Z88" s="13" t="n">
        <v>999999999</v>
      </c>
      <c r="AA88" s="10" t="n">
        <v>999999999</v>
      </c>
    </row>
    <row r="89">
      <c r="A89" s="12" t="inlineStr">
        <is>
          <t>WY</t>
        </is>
      </c>
      <c r="B89" s="12" t="inlineStr">
        <is>
          <t>Single</t>
        </is>
      </c>
      <c r="C89" s="7">
        <f>A89&amp;"|"&amp;B89</f>
        <v/>
      </c>
      <c r="D89" s="14" t="n">
        <v>0</v>
      </c>
      <c r="E89" s="13" t="n">
        <v>0</v>
      </c>
      <c r="F89" s="10">
        <f>H89</f>
        <v/>
      </c>
      <c r="G89" s="14" t="n">
        <v>0</v>
      </c>
      <c r="H89" s="13" t="n">
        <v>999999999</v>
      </c>
      <c r="I89" s="10">
        <f>K89</f>
        <v/>
      </c>
      <c r="J89" s="14" t="n">
        <v>0</v>
      </c>
      <c r="K89" s="13" t="n">
        <v>999999999</v>
      </c>
      <c r="L89" s="10">
        <f>N89</f>
        <v/>
      </c>
      <c r="M89" s="14" t="n">
        <v>0</v>
      </c>
      <c r="N89" s="13" t="n">
        <v>999999999</v>
      </c>
      <c r="O89" s="10">
        <f>Q89</f>
        <v/>
      </c>
      <c r="P89" s="14" t="n">
        <v>0</v>
      </c>
      <c r="Q89" s="13" t="n">
        <v>999999999</v>
      </c>
      <c r="R89" s="10">
        <f>T89</f>
        <v/>
      </c>
      <c r="S89" s="14" t="n">
        <v>0</v>
      </c>
      <c r="T89" s="13" t="n">
        <v>999999999</v>
      </c>
      <c r="U89" s="10">
        <f>W89</f>
        <v/>
      </c>
      <c r="V89" s="14" t="n">
        <v>0</v>
      </c>
      <c r="W89" s="13" t="n">
        <v>999999999</v>
      </c>
      <c r="X89" s="10">
        <f>Z89</f>
        <v/>
      </c>
      <c r="Y89" s="14" t="n">
        <v>0</v>
      </c>
      <c r="Z89" s="13" t="n">
        <v>999999999</v>
      </c>
      <c r="AA89" s="10" t="n">
        <v>999999999</v>
      </c>
    </row>
    <row r="90">
      <c r="A90" s="12" t="inlineStr">
        <is>
          <t>WY</t>
        </is>
      </c>
      <c r="B90" s="12" t="inlineStr">
        <is>
          <t>MFJ</t>
        </is>
      </c>
      <c r="C90" s="7">
        <f>A90&amp;"|"&amp;B90</f>
        <v/>
      </c>
      <c r="D90" s="14" t="n">
        <v>0</v>
      </c>
      <c r="E90" s="13" t="n">
        <v>0</v>
      </c>
      <c r="F90" s="10">
        <f>H90</f>
        <v/>
      </c>
      <c r="G90" s="14" t="n">
        <v>0</v>
      </c>
      <c r="H90" s="13" t="n">
        <v>999999999</v>
      </c>
      <c r="I90" s="10">
        <f>K90</f>
        <v/>
      </c>
      <c r="J90" s="14" t="n">
        <v>0</v>
      </c>
      <c r="K90" s="13" t="n">
        <v>999999999</v>
      </c>
      <c r="L90" s="10">
        <f>N90</f>
        <v/>
      </c>
      <c r="M90" s="14" t="n">
        <v>0</v>
      </c>
      <c r="N90" s="13" t="n">
        <v>999999999</v>
      </c>
      <c r="O90" s="10">
        <f>Q90</f>
        <v/>
      </c>
      <c r="P90" s="14" t="n">
        <v>0</v>
      </c>
      <c r="Q90" s="13" t="n">
        <v>999999999</v>
      </c>
      <c r="R90" s="10">
        <f>T90</f>
        <v/>
      </c>
      <c r="S90" s="14" t="n">
        <v>0</v>
      </c>
      <c r="T90" s="13" t="n">
        <v>999999999</v>
      </c>
      <c r="U90" s="10">
        <f>W90</f>
        <v/>
      </c>
      <c r="V90" s="14" t="n">
        <v>0</v>
      </c>
      <c r="W90" s="13" t="n">
        <v>999999999</v>
      </c>
      <c r="X90" s="10">
        <f>Z90</f>
        <v/>
      </c>
      <c r="Y90" s="14" t="n">
        <v>0</v>
      </c>
      <c r="Z90" s="13" t="n">
        <v>999999999</v>
      </c>
      <c r="AA90" s="10" t="n">
        <v>999999999</v>
      </c>
    </row>
    <row r="91">
      <c r="A91" s="12" t="inlineStr">
        <is>
          <t>SD</t>
        </is>
      </c>
      <c r="B91" s="12" t="inlineStr">
        <is>
          <t>Single</t>
        </is>
      </c>
      <c r="C91" s="7">
        <f>A91&amp;"|"&amp;B91</f>
        <v/>
      </c>
      <c r="D91" s="14" t="n">
        <v>0</v>
      </c>
      <c r="E91" s="13" t="n">
        <v>0</v>
      </c>
      <c r="F91" s="10">
        <f>H91</f>
        <v/>
      </c>
      <c r="G91" s="14" t="n">
        <v>0</v>
      </c>
      <c r="H91" s="13" t="n">
        <v>999999999</v>
      </c>
      <c r="I91" s="10">
        <f>K91</f>
        <v/>
      </c>
      <c r="J91" s="14" t="n">
        <v>0</v>
      </c>
      <c r="K91" s="13" t="n">
        <v>999999999</v>
      </c>
      <c r="L91" s="10">
        <f>N91</f>
        <v/>
      </c>
      <c r="M91" s="14" t="n">
        <v>0</v>
      </c>
      <c r="N91" s="13" t="n">
        <v>999999999</v>
      </c>
      <c r="O91" s="10">
        <f>Q91</f>
        <v/>
      </c>
      <c r="P91" s="14" t="n">
        <v>0</v>
      </c>
      <c r="Q91" s="13" t="n">
        <v>999999999</v>
      </c>
      <c r="R91" s="10">
        <f>T91</f>
        <v/>
      </c>
      <c r="S91" s="14" t="n">
        <v>0</v>
      </c>
      <c r="T91" s="13" t="n">
        <v>999999999</v>
      </c>
      <c r="U91" s="10">
        <f>W91</f>
        <v/>
      </c>
      <c r="V91" s="14" t="n">
        <v>0</v>
      </c>
      <c r="W91" s="13" t="n">
        <v>999999999</v>
      </c>
      <c r="X91" s="10">
        <f>Z91</f>
        <v/>
      </c>
      <c r="Y91" s="14" t="n">
        <v>0</v>
      </c>
      <c r="Z91" s="13" t="n">
        <v>999999999</v>
      </c>
      <c r="AA91" s="10" t="n">
        <v>999999999</v>
      </c>
    </row>
    <row r="92">
      <c r="A92" s="12" t="inlineStr">
        <is>
          <t>SD</t>
        </is>
      </c>
      <c r="B92" s="12" t="inlineStr">
        <is>
          <t>MFJ</t>
        </is>
      </c>
      <c r="C92" s="7">
        <f>A92&amp;"|"&amp;B92</f>
        <v/>
      </c>
      <c r="D92" s="14" t="n">
        <v>0</v>
      </c>
      <c r="E92" s="13" t="n">
        <v>0</v>
      </c>
      <c r="F92" s="10">
        <f>H92</f>
        <v/>
      </c>
      <c r="G92" s="14" t="n">
        <v>0</v>
      </c>
      <c r="H92" s="13" t="n">
        <v>999999999</v>
      </c>
      <c r="I92" s="10">
        <f>K92</f>
        <v/>
      </c>
      <c r="J92" s="14" t="n">
        <v>0</v>
      </c>
      <c r="K92" s="13" t="n">
        <v>999999999</v>
      </c>
      <c r="L92" s="10">
        <f>N92</f>
        <v/>
      </c>
      <c r="M92" s="14" t="n">
        <v>0</v>
      </c>
      <c r="N92" s="13" t="n">
        <v>999999999</v>
      </c>
      <c r="O92" s="10">
        <f>Q92</f>
        <v/>
      </c>
      <c r="P92" s="14" t="n">
        <v>0</v>
      </c>
      <c r="Q92" s="13" t="n">
        <v>999999999</v>
      </c>
      <c r="R92" s="10">
        <f>T92</f>
        <v/>
      </c>
      <c r="S92" s="14" t="n">
        <v>0</v>
      </c>
      <c r="T92" s="13" t="n">
        <v>999999999</v>
      </c>
      <c r="U92" s="10">
        <f>W92</f>
        <v/>
      </c>
      <c r="V92" s="14" t="n">
        <v>0</v>
      </c>
      <c r="W92" s="13" t="n">
        <v>999999999</v>
      </c>
      <c r="X92" s="10">
        <f>Z92</f>
        <v/>
      </c>
      <c r="Y92" s="14" t="n">
        <v>0</v>
      </c>
      <c r="Z92" s="13" t="n">
        <v>999999999</v>
      </c>
      <c r="AA92" s="10" t="n">
        <v>999999999</v>
      </c>
    </row>
    <row r="93">
      <c r="A93" s="12" t="inlineStr">
        <is>
          <t>AK</t>
        </is>
      </c>
      <c r="B93" s="12" t="inlineStr">
        <is>
          <t>Single</t>
        </is>
      </c>
      <c r="C93" s="7">
        <f>A93&amp;"|"&amp;B93</f>
        <v/>
      </c>
      <c r="D93" s="14" t="n">
        <v>0</v>
      </c>
      <c r="E93" s="13" t="n">
        <v>0</v>
      </c>
      <c r="F93" s="10">
        <f>H93</f>
        <v/>
      </c>
      <c r="G93" s="14" t="n">
        <v>0</v>
      </c>
      <c r="H93" s="13" t="n">
        <v>999999999</v>
      </c>
      <c r="I93" s="10">
        <f>K93</f>
        <v/>
      </c>
      <c r="J93" s="14" t="n">
        <v>0</v>
      </c>
      <c r="K93" s="13" t="n">
        <v>999999999</v>
      </c>
      <c r="L93" s="10">
        <f>N93</f>
        <v/>
      </c>
      <c r="M93" s="14" t="n">
        <v>0</v>
      </c>
      <c r="N93" s="13" t="n">
        <v>999999999</v>
      </c>
      <c r="O93" s="10">
        <f>Q93</f>
        <v/>
      </c>
      <c r="P93" s="14" t="n">
        <v>0</v>
      </c>
      <c r="Q93" s="13" t="n">
        <v>999999999</v>
      </c>
      <c r="R93" s="10">
        <f>T93</f>
        <v/>
      </c>
      <c r="S93" s="14" t="n">
        <v>0</v>
      </c>
      <c r="T93" s="13" t="n">
        <v>999999999</v>
      </c>
      <c r="U93" s="10">
        <f>W93</f>
        <v/>
      </c>
      <c r="V93" s="14" t="n">
        <v>0</v>
      </c>
      <c r="W93" s="13" t="n">
        <v>999999999</v>
      </c>
      <c r="X93" s="10">
        <f>Z93</f>
        <v/>
      </c>
      <c r="Y93" s="14" t="n">
        <v>0</v>
      </c>
      <c r="Z93" s="13" t="n">
        <v>999999999</v>
      </c>
      <c r="AA93" s="10" t="n">
        <v>999999999</v>
      </c>
    </row>
    <row r="94">
      <c r="A94" s="12" t="inlineStr">
        <is>
          <t>AK</t>
        </is>
      </c>
      <c r="B94" s="12" t="inlineStr">
        <is>
          <t>MFJ</t>
        </is>
      </c>
      <c r="C94" s="7">
        <f>A94&amp;"|"&amp;B94</f>
        <v/>
      </c>
      <c r="D94" s="14" t="n">
        <v>0</v>
      </c>
      <c r="E94" s="13" t="n">
        <v>0</v>
      </c>
      <c r="F94" s="10">
        <f>H94</f>
        <v/>
      </c>
      <c r="G94" s="14" t="n">
        <v>0</v>
      </c>
      <c r="H94" s="13" t="n">
        <v>999999999</v>
      </c>
      <c r="I94" s="10">
        <f>K94</f>
        <v/>
      </c>
      <c r="J94" s="14" t="n">
        <v>0</v>
      </c>
      <c r="K94" s="13" t="n">
        <v>999999999</v>
      </c>
      <c r="L94" s="10">
        <f>N94</f>
        <v/>
      </c>
      <c r="M94" s="14" t="n">
        <v>0</v>
      </c>
      <c r="N94" s="13" t="n">
        <v>999999999</v>
      </c>
      <c r="O94" s="10">
        <f>Q94</f>
        <v/>
      </c>
      <c r="P94" s="14" t="n">
        <v>0</v>
      </c>
      <c r="Q94" s="13" t="n">
        <v>999999999</v>
      </c>
      <c r="R94" s="10">
        <f>T94</f>
        <v/>
      </c>
      <c r="S94" s="14" t="n">
        <v>0</v>
      </c>
      <c r="T94" s="13" t="n">
        <v>999999999</v>
      </c>
      <c r="U94" s="10">
        <f>W94</f>
        <v/>
      </c>
      <c r="V94" s="14" t="n">
        <v>0</v>
      </c>
      <c r="W94" s="13" t="n">
        <v>999999999</v>
      </c>
      <c r="X94" s="10">
        <f>Z94</f>
        <v/>
      </c>
      <c r="Y94" s="14" t="n">
        <v>0</v>
      </c>
      <c r="Z94" s="13" t="n">
        <v>999999999</v>
      </c>
      <c r="AA94" s="10" t="n">
        <v>999999999</v>
      </c>
    </row>
    <row r="95">
      <c r="A95" s="12" t="inlineStr">
        <is>
          <t>TN</t>
        </is>
      </c>
      <c r="B95" s="12" t="inlineStr">
        <is>
          <t>Single</t>
        </is>
      </c>
      <c r="C95" s="7">
        <f>A95&amp;"|"&amp;B95</f>
        <v/>
      </c>
      <c r="D95" s="14" t="n">
        <v>0</v>
      </c>
      <c r="E95" s="13" t="n">
        <v>0</v>
      </c>
      <c r="F95" s="10">
        <f>H95</f>
        <v/>
      </c>
      <c r="G95" s="14" t="n">
        <v>0</v>
      </c>
      <c r="H95" s="13" t="n">
        <v>999999999</v>
      </c>
      <c r="I95" s="10">
        <f>K95</f>
        <v/>
      </c>
      <c r="J95" s="14" t="n">
        <v>0</v>
      </c>
      <c r="K95" s="13" t="n">
        <v>999999999</v>
      </c>
      <c r="L95" s="10">
        <f>N95</f>
        <v/>
      </c>
      <c r="M95" s="14" t="n">
        <v>0</v>
      </c>
      <c r="N95" s="13" t="n">
        <v>999999999</v>
      </c>
      <c r="O95" s="10">
        <f>Q95</f>
        <v/>
      </c>
      <c r="P95" s="14" t="n">
        <v>0</v>
      </c>
      <c r="Q95" s="13" t="n">
        <v>999999999</v>
      </c>
      <c r="R95" s="10">
        <f>T95</f>
        <v/>
      </c>
      <c r="S95" s="14" t="n">
        <v>0</v>
      </c>
      <c r="T95" s="13" t="n">
        <v>999999999</v>
      </c>
      <c r="U95" s="10">
        <f>W95</f>
        <v/>
      </c>
      <c r="V95" s="14" t="n">
        <v>0</v>
      </c>
      <c r="W95" s="13" t="n">
        <v>999999999</v>
      </c>
      <c r="X95" s="10">
        <f>Z95</f>
        <v/>
      </c>
      <c r="Y95" s="14" t="n">
        <v>0</v>
      </c>
      <c r="Z95" s="13" t="n">
        <v>999999999</v>
      </c>
      <c r="AA95" s="10" t="n">
        <v>999999999</v>
      </c>
    </row>
    <row r="96">
      <c r="A96" s="12" t="inlineStr">
        <is>
          <t>TN</t>
        </is>
      </c>
      <c r="B96" s="12" t="inlineStr">
        <is>
          <t>MFJ</t>
        </is>
      </c>
      <c r="C96" s="7">
        <f>A96&amp;"|"&amp;B96</f>
        <v/>
      </c>
      <c r="D96" s="14" t="n">
        <v>0</v>
      </c>
      <c r="E96" s="13" t="n">
        <v>0</v>
      </c>
      <c r="F96" s="10">
        <f>H96</f>
        <v/>
      </c>
      <c r="G96" s="14" t="n">
        <v>0</v>
      </c>
      <c r="H96" s="13" t="n">
        <v>999999999</v>
      </c>
      <c r="I96" s="10">
        <f>K96</f>
        <v/>
      </c>
      <c r="J96" s="14" t="n">
        <v>0</v>
      </c>
      <c r="K96" s="13" t="n">
        <v>999999999</v>
      </c>
      <c r="L96" s="10">
        <f>N96</f>
        <v/>
      </c>
      <c r="M96" s="14" t="n">
        <v>0</v>
      </c>
      <c r="N96" s="13" t="n">
        <v>999999999</v>
      </c>
      <c r="O96" s="10">
        <f>Q96</f>
        <v/>
      </c>
      <c r="P96" s="14" t="n">
        <v>0</v>
      </c>
      <c r="Q96" s="13" t="n">
        <v>999999999</v>
      </c>
      <c r="R96" s="10">
        <f>T96</f>
        <v/>
      </c>
      <c r="S96" s="14" t="n">
        <v>0</v>
      </c>
      <c r="T96" s="13" t="n">
        <v>999999999</v>
      </c>
      <c r="U96" s="10">
        <f>W96</f>
        <v/>
      </c>
      <c r="V96" s="14" t="n">
        <v>0</v>
      </c>
      <c r="W96" s="13" t="n">
        <v>999999999</v>
      </c>
      <c r="X96" s="10">
        <f>Z96</f>
        <v/>
      </c>
      <c r="Y96" s="14" t="n">
        <v>0</v>
      </c>
      <c r="Z96" s="13" t="n">
        <v>999999999</v>
      </c>
      <c r="AA96" s="10" t="n">
        <v>999999999</v>
      </c>
    </row>
    <row r="97">
      <c r="A97" s="12" t="inlineStr">
        <is>
          <t>CO</t>
        </is>
      </c>
      <c r="B97" s="12" t="inlineStr">
        <is>
          <t>Single</t>
        </is>
      </c>
      <c r="C97" s="7">
        <f>A97&amp;"|"&amp;B97</f>
        <v/>
      </c>
      <c r="D97" s="14" t="n">
        <v>0.044</v>
      </c>
      <c r="E97" s="13" t="n">
        <v>0</v>
      </c>
      <c r="F97" s="10">
        <f>H97</f>
        <v/>
      </c>
      <c r="G97" s="14" t="n">
        <v>0</v>
      </c>
      <c r="H97" s="13" t="n">
        <v>999999999</v>
      </c>
      <c r="I97" s="10">
        <f>K97</f>
        <v/>
      </c>
      <c r="J97" s="14" t="n">
        <v>0</v>
      </c>
      <c r="K97" s="13" t="n">
        <v>999999999</v>
      </c>
      <c r="L97" s="10">
        <f>N97</f>
        <v/>
      </c>
      <c r="M97" s="14" t="n">
        <v>0</v>
      </c>
      <c r="N97" s="13" t="n">
        <v>999999999</v>
      </c>
      <c r="O97" s="10">
        <f>Q97</f>
        <v/>
      </c>
      <c r="P97" s="14" t="n">
        <v>0</v>
      </c>
      <c r="Q97" s="13" t="n">
        <v>999999999</v>
      </c>
      <c r="R97" s="10">
        <f>T97</f>
        <v/>
      </c>
      <c r="S97" s="14" t="n">
        <v>0</v>
      </c>
      <c r="T97" s="13" t="n">
        <v>999999999</v>
      </c>
      <c r="U97" s="10">
        <f>W97</f>
        <v/>
      </c>
      <c r="V97" s="14" t="n">
        <v>0</v>
      </c>
      <c r="W97" s="13" t="n">
        <v>999999999</v>
      </c>
      <c r="X97" s="10">
        <f>Z97</f>
        <v/>
      </c>
      <c r="Y97" s="14" t="n">
        <v>0</v>
      </c>
      <c r="Z97" s="13" t="n">
        <v>999999999</v>
      </c>
      <c r="AA97" s="10" t="n">
        <v>999999999</v>
      </c>
    </row>
    <row r="98">
      <c r="A98" s="12" t="inlineStr">
        <is>
          <t>CO</t>
        </is>
      </c>
      <c r="B98" s="12" t="inlineStr">
        <is>
          <t>MFJ</t>
        </is>
      </c>
      <c r="C98" s="7">
        <f>A98&amp;"|"&amp;B98</f>
        <v/>
      </c>
      <c r="D98" s="14" t="n">
        <v>0.044</v>
      </c>
      <c r="E98" s="13" t="n">
        <v>0</v>
      </c>
      <c r="F98" s="10">
        <f>H98</f>
        <v/>
      </c>
      <c r="G98" s="14" t="n">
        <v>0</v>
      </c>
      <c r="H98" s="13" t="n">
        <v>999999999</v>
      </c>
      <c r="I98" s="10">
        <f>K98</f>
        <v/>
      </c>
      <c r="J98" s="14" t="n">
        <v>0</v>
      </c>
      <c r="K98" s="13" t="n">
        <v>999999999</v>
      </c>
      <c r="L98" s="10">
        <f>N98</f>
        <v/>
      </c>
      <c r="M98" s="14" t="n">
        <v>0</v>
      </c>
      <c r="N98" s="13" t="n">
        <v>999999999</v>
      </c>
      <c r="O98" s="10">
        <f>Q98</f>
        <v/>
      </c>
      <c r="P98" s="14" t="n">
        <v>0</v>
      </c>
      <c r="Q98" s="13" t="n">
        <v>999999999</v>
      </c>
      <c r="R98" s="10">
        <f>T98</f>
        <v/>
      </c>
      <c r="S98" s="14" t="n">
        <v>0</v>
      </c>
      <c r="T98" s="13" t="n">
        <v>999999999</v>
      </c>
      <c r="U98" s="10">
        <f>W98</f>
        <v/>
      </c>
      <c r="V98" s="14" t="n">
        <v>0</v>
      </c>
      <c r="W98" s="13" t="n">
        <v>999999999</v>
      </c>
      <c r="X98" s="10">
        <f>Z98</f>
        <v/>
      </c>
      <c r="Y98" s="14" t="n">
        <v>0</v>
      </c>
      <c r="Z98" s="13" t="n">
        <v>999999999</v>
      </c>
      <c r="AA98" s="10" t="n">
        <v>999999999</v>
      </c>
    </row>
    <row r="99">
      <c r="A99" s="12" t="inlineStr">
        <is>
          <t>IL</t>
        </is>
      </c>
      <c r="B99" s="12" t="inlineStr">
        <is>
          <t>Single</t>
        </is>
      </c>
      <c r="C99" s="7">
        <f>A99&amp;"|"&amp;B99</f>
        <v/>
      </c>
      <c r="D99" s="14" t="n">
        <v>0.0495</v>
      </c>
      <c r="E99" s="13" t="n">
        <v>0</v>
      </c>
      <c r="F99" s="10">
        <f>H99</f>
        <v/>
      </c>
      <c r="G99" s="14" t="n">
        <v>0</v>
      </c>
      <c r="H99" s="13" t="n">
        <v>999999999</v>
      </c>
      <c r="I99" s="10">
        <f>K99</f>
        <v/>
      </c>
      <c r="J99" s="14" t="n">
        <v>0</v>
      </c>
      <c r="K99" s="13" t="n">
        <v>999999999</v>
      </c>
      <c r="L99" s="10">
        <f>N99</f>
        <v/>
      </c>
      <c r="M99" s="14" t="n">
        <v>0</v>
      </c>
      <c r="N99" s="13" t="n">
        <v>999999999</v>
      </c>
      <c r="O99" s="10">
        <f>Q99</f>
        <v/>
      </c>
      <c r="P99" s="14" t="n">
        <v>0</v>
      </c>
      <c r="Q99" s="13" t="n">
        <v>999999999</v>
      </c>
      <c r="R99" s="10">
        <f>T99</f>
        <v/>
      </c>
      <c r="S99" s="14" t="n">
        <v>0</v>
      </c>
      <c r="T99" s="13" t="n">
        <v>999999999</v>
      </c>
      <c r="U99" s="10">
        <f>W99</f>
        <v/>
      </c>
      <c r="V99" s="14" t="n">
        <v>0</v>
      </c>
      <c r="W99" s="13" t="n">
        <v>999999999</v>
      </c>
      <c r="X99" s="10">
        <f>Z99</f>
        <v/>
      </c>
      <c r="Y99" s="14" t="n">
        <v>0</v>
      </c>
      <c r="Z99" s="13" t="n">
        <v>999999999</v>
      </c>
      <c r="AA99" s="10" t="n">
        <v>999999999</v>
      </c>
    </row>
    <row r="100">
      <c r="A100" s="12" t="inlineStr">
        <is>
          <t>IL</t>
        </is>
      </c>
      <c r="B100" s="12" t="inlineStr">
        <is>
          <t>MFJ</t>
        </is>
      </c>
      <c r="C100" s="7">
        <f>A100&amp;"|"&amp;B100</f>
        <v/>
      </c>
      <c r="D100" s="14" t="n">
        <v>0.0495</v>
      </c>
      <c r="E100" s="13" t="n">
        <v>0</v>
      </c>
      <c r="F100" s="10">
        <f>H100</f>
        <v/>
      </c>
      <c r="G100" s="14" t="n">
        <v>0</v>
      </c>
      <c r="H100" s="13" t="n">
        <v>999999999</v>
      </c>
      <c r="I100" s="10">
        <f>K100</f>
        <v/>
      </c>
      <c r="J100" s="14" t="n">
        <v>0</v>
      </c>
      <c r="K100" s="13" t="n">
        <v>999999999</v>
      </c>
      <c r="L100" s="10">
        <f>N100</f>
        <v/>
      </c>
      <c r="M100" s="14" t="n">
        <v>0</v>
      </c>
      <c r="N100" s="13" t="n">
        <v>999999999</v>
      </c>
      <c r="O100" s="10">
        <f>Q100</f>
        <v/>
      </c>
      <c r="P100" s="14" t="n">
        <v>0</v>
      </c>
      <c r="Q100" s="13" t="n">
        <v>999999999</v>
      </c>
      <c r="R100" s="10">
        <f>T100</f>
        <v/>
      </c>
      <c r="S100" s="14" t="n">
        <v>0</v>
      </c>
      <c r="T100" s="13" t="n">
        <v>999999999</v>
      </c>
      <c r="U100" s="10">
        <f>W100</f>
        <v/>
      </c>
      <c r="V100" s="14" t="n">
        <v>0</v>
      </c>
      <c r="W100" s="13" t="n">
        <v>999999999</v>
      </c>
      <c r="X100" s="10">
        <f>Z100</f>
        <v/>
      </c>
      <c r="Y100" s="14" t="n">
        <v>0</v>
      </c>
      <c r="Z100" s="13" t="n">
        <v>999999999</v>
      </c>
      <c r="AA100" s="10" t="n">
        <v>999999999</v>
      </c>
    </row>
    <row r="101">
      <c r="A101" s="12" t="inlineStr">
        <is>
          <t>IN</t>
        </is>
      </c>
      <c r="B101" s="12" t="inlineStr">
        <is>
          <t>Single</t>
        </is>
      </c>
      <c r="C101" s="7">
        <f>A101&amp;"|"&amp;B101</f>
        <v/>
      </c>
      <c r="D101" s="14" t="n">
        <v>0.0305</v>
      </c>
      <c r="E101" s="13" t="n">
        <v>0</v>
      </c>
      <c r="F101" s="10">
        <f>H101</f>
        <v/>
      </c>
      <c r="G101" s="14" t="n">
        <v>0</v>
      </c>
      <c r="H101" s="13" t="n">
        <v>999999999</v>
      </c>
      <c r="I101" s="10">
        <f>K101</f>
        <v/>
      </c>
      <c r="J101" s="14" t="n">
        <v>0</v>
      </c>
      <c r="K101" s="13" t="n">
        <v>999999999</v>
      </c>
      <c r="L101" s="10">
        <f>N101</f>
        <v/>
      </c>
      <c r="M101" s="14" t="n">
        <v>0</v>
      </c>
      <c r="N101" s="13" t="n">
        <v>999999999</v>
      </c>
      <c r="O101" s="10">
        <f>Q101</f>
        <v/>
      </c>
      <c r="P101" s="14" t="n">
        <v>0</v>
      </c>
      <c r="Q101" s="13" t="n">
        <v>999999999</v>
      </c>
      <c r="R101" s="10">
        <f>T101</f>
        <v/>
      </c>
      <c r="S101" s="14" t="n">
        <v>0</v>
      </c>
      <c r="T101" s="13" t="n">
        <v>999999999</v>
      </c>
      <c r="U101" s="10">
        <f>W101</f>
        <v/>
      </c>
      <c r="V101" s="14" t="n">
        <v>0</v>
      </c>
      <c r="W101" s="13" t="n">
        <v>999999999</v>
      </c>
      <c r="X101" s="10">
        <f>Z101</f>
        <v/>
      </c>
      <c r="Y101" s="14" t="n">
        <v>0</v>
      </c>
      <c r="Z101" s="13" t="n">
        <v>999999999</v>
      </c>
      <c r="AA101" s="10" t="n">
        <v>999999999</v>
      </c>
    </row>
    <row r="102">
      <c r="A102" s="12" t="inlineStr">
        <is>
          <t>IN</t>
        </is>
      </c>
      <c r="B102" s="12" t="inlineStr">
        <is>
          <t>MFJ</t>
        </is>
      </c>
      <c r="C102" s="7">
        <f>A102&amp;"|"&amp;B102</f>
        <v/>
      </c>
      <c r="D102" s="14" t="n">
        <v>0.0305</v>
      </c>
      <c r="E102" s="13" t="n">
        <v>0</v>
      </c>
      <c r="F102" s="10">
        <f>H102</f>
        <v/>
      </c>
      <c r="G102" s="14" t="n">
        <v>0</v>
      </c>
      <c r="H102" s="13" t="n">
        <v>999999999</v>
      </c>
      <c r="I102" s="10">
        <f>K102</f>
        <v/>
      </c>
      <c r="J102" s="14" t="n">
        <v>0</v>
      </c>
      <c r="K102" s="13" t="n">
        <v>999999999</v>
      </c>
      <c r="L102" s="10">
        <f>N102</f>
        <v/>
      </c>
      <c r="M102" s="14" t="n">
        <v>0</v>
      </c>
      <c r="N102" s="13" t="n">
        <v>999999999</v>
      </c>
      <c r="O102" s="10">
        <f>Q102</f>
        <v/>
      </c>
      <c r="P102" s="14" t="n">
        <v>0</v>
      </c>
      <c r="Q102" s="13" t="n">
        <v>999999999</v>
      </c>
      <c r="R102" s="10">
        <f>T102</f>
        <v/>
      </c>
      <c r="S102" s="14" t="n">
        <v>0</v>
      </c>
      <c r="T102" s="13" t="n">
        <v>999999999</v>
      </c>
      <c r="U102" s="10">
        <f>W102</f>
        <v/>
      </c>
      <c r="V102" s="14" t="n">
        <v>0</v>
      </c>
      <c r="W102" s="13" t="n">
        <v>999999999</v>
      </c>
      <c r="X102" s="10">
        <f>Z102</f>
        <v/>
      </c>
      <c r="Y102" s="14" t="n">
        <v>0</v>
      </c>
      <c r="Z102" s="13" t="n">
        <v>999999999</v>
      </c>
      <c r="AA102" s="10" t="n">
        <v>999999999</v>
      </c>
    </row>
    <row r="103">
      <c r="A103" s="12" t="inlineStr">
        <is>
          <t>MI</t>
        </is>
      </c>
      <c r="B103" s="12" t="inlineStr">
        <is>
          <t>Single</t>
        </is>
      </c>
      <c r="C103" s="7">
        <f>A103&amp;"|"&amp;B103</f>
        <v/>
      </c>
      <c r="D103" s="14" t="n">
        <v>0.0425</v>
      </c>
      <c r="E103" s="13" t="n">
        <v>0</v>
      </c>
      <c r="F103" s="10">
        <f>H103</f>
        <v/>
      </c>
      <c r="G103" s="14" t="n">
        <v>0</v>
      </c>
      <c r="H103" s="13" t="n">
        <v>999999999</v>
      </c>
      <c r="I103" s="10">
        <f>K103</f>
        <v/>
      </c>
      <c r="J103" s="14" t="n">
        <v>0</v>
      </c>
      <c r="K103" s="13" t="n">
        <v>999999999</v>
      </c>
      <c r="L103" s="10">
        <f>N103</f>
        <v/>
      </c>
      <c r="M103" s="14" t="n">
        <v>0</v>
      </c>
      <c r="N103" s="13" t="n">
        <v>999999999</v>
      </c>
      <c r="O103" s="10">
        <f>Q103</f>
        <v/>
      </c>
      <c r="P103" s="14" t="n">
        <v>0</v>
      </c>
      <c r="Q103" s="13" t="n">
        <v>999999999</v>
      </c>
      <c r="R103" s="10">
        <f>T103</f>
        <v/>
      </c>
      <c r="S103" s="14" t="n">
        <v>0</v>
      </c>
      <c r="T103" s="13" t="n">
        <v>999999999</v>
      </c>
      <c r="U103" s="10">
        <f>W103</f>
        <v/>
      </c>
      <c r="V103" s="14" t="n">
        <v>0</v>
      </c>
      <c r="W103" s="13" t="n">
        <v>999999999</v>
      </c>
      <c r="X103" s="10">
        <f>Z103</f>
        <v/>
      </c>
      <c r="Y103" s="14" t="n">
        <v>0</v>
      </c>
      <c r="Z103" s="13" t="n">
        <v>999999999</v>
      </c>
      <c r="AA103" s="10" t="n">
        <v>999999999</v>
      </c>
    </row>
    <row r="104">
      <c r="A104" s="12" t="inlineStr">
        <is>
          <t>MI</t>
        </is>
      </c>
      <c r="B104" s="12" t="inlineStr">
        <is>
          <t>MFJ</t>
        </is>
      </c>
      <c r="C104" s="7">
        <f>A104&amp;"|"&amp;B104</f>
        <v/>
      </c>
      <c r="D104" s="14" t="n">
        <v>0.0425</v>
      </c>
      <c r="E104" s="13" t="n">
        <v>0</v>
      </c>
      <c r="F104" s="10">
        <f>H104</f>
        <v/>
      </c>
      <c r="G104" s="14" t="n">
        <v>0</v>
      </c>
      <c r="H104" s="13" t="n">
        <v>999999999</v>
      </c>
      <c r="I104" s="10">
        <f>K104</f>
        <v/>
      </c>
      <c r="J104" s="14" t="n">
        <v>0</v>
      </c>
      <c r="K104" s="13" t="n">
        <v>999999999</v>
      </c>
      <c r="L104" s="10">
        <f>N104</f>
        <v/>
      </c>
      <c r="M104" s="14" t="n">
        <v>0</v>
      </c>
      <c r="N104" s="13" t="n">
        <v>999999999</v>
      </c>
      <c r="O104" s="10">
        <f>Q104</f>
        <v/>
      </c>
      <c r="P104" s="14" t="n">
        <v>0</v>
      </c>
      <c r="Q104" s="13" t="n">
        <v>999999999</v>
      </c>
      <c r="R104" s="10">
        <f>T104</f>
        <v/>
      </c>
      <c r="S104" s="14" t="n">
        <v>0</v>
      </c>
      <c r="T104" s="13" t="n">
        <v>999999999</v>
      </c>
      <c r="U104" s="10">
        <f>W104</f>
        <v/>
      </c>
      <c r="V104" s="14" t="n">
        <v>0</v>
      </c>
      <c r="W104" s="13" t="n">
        <v>999999999</v>
      </c>
      <c r="X104" s="10">
        <f>Z104</f>
        <v/>
      </c>
      <c r="Y104" s="14" t="n">
        <v>0</v>
      </c>
      <c r="Z104" s="13" t="n">
        <v>999999999</v>
      </c>
      <c r="AA104" s="10" t="n">
        <v>999999999</v>
      </c>
    </row>
    <row r="105">
      <c r="A105" s="12" t="inlineStr">
        <is>
          <t>NC</t>
        </is>
      </c>
      <c r="B105" s="12" t="inlineStr">
        <is>
          <t>Single</t>
        </is>
      </c>
      <c r="C105" s="7">
        <f>A105&amp;"|"&amp;B105</f>
        <v/>
      </c>
      <c r="D105" s="14" t="n">
        <v>0.045</v>
      </c>
      <c r="E105" s="13" t="n">
        <v>0</v>
      </c>
      <c r="F105" s="10">
        <f>H105</f>
        <v/>
      </c>
      <c r="G105" s="14" t="n">
        <v>0</v>
      </c>
      <c r="H105" s="13" t="n">
        <v>999999999</v>
      </c>
      <c r="I105" s="10">
        <f>K105</f>
        <v/>
      </c>
      <c r="J105" s="14" t="n">
        <v>0</v>
      </c>
      <c r="K105" s="13" t="n">
        <v>999999999</v>
      </c>
      <c r="L105" s="10">
        <f>N105</f>
        <v/>
      </c>
      <c r="M105" s="14" t="n">
        <v>0</v>
      </c>
      <c r="N105" s="13" t="n">
        <v>999999999</v>
      </c>
      <c r="O105" s="10">
        <f>Q105</f>
        <v/>
      </c>
      <c r="P105" s="14" t="n">
        <v>0</v>
      </c>
      <c r="Q105" s="13" t="n">
        <v>999999999</v>
      </c>
      <c r="R105" s="10">
        <f>T105</f>
        <v/>
      </c>
      <c r="S105" s="14" t="n">
        <v>0</v>
      </c>
      <c r="T105" s="13" t="n">
        <v>999999999</v>
      </c>
      <c r="U105" s="10">
        <f>W105</f>
        <v/>
      </c>
      <c r="V105" s="14" t="n">
        <v>0</v>
      </c>
      <c r="W105" s="13" t="n">
        <v>999999999</v>
      </c>
      <c r="X105" s="10">
        <f>Z105</f>
        <v/>
      </c>
      <c r="Y105" s="14" t="n">
        <v>0</v>
      </c>
      <c r="Z105" s="13" t="n">
        <v>999999999</v>
      </c>
      <c r="AA105" s="10" t="n">
        <v>999999999</v>
      </c>
    </row>
    <row r="106">
      <c r="A106" s="12" t="inlineStr">
        <is>
          <t>NC</t>
        </is>
      </c>
      <c r="B106" s="12" t="inlineStr">
        <is>
          <t>MFJ</t>
        </is>
      </c>
      <c r="C106" s="7">
        <f>A106&amp;"|"&amp;B106</f>
        <v/>
      </c>
      <c r="D106" s="14" t="n">
        <v>0.045</v>
      </c>
      <c r="E106" s="13" t="n">
        <v>0</v>
      </c>
      <c r="F106" s="10">
        <f>H106</f>
        <v/>
      </c>
      <c r="G106" s="14" t="n">
        <v>0</v>
      </c>
      <c r="H106" s="13" t="n">
        <v>999999999</v>
      </c>
      <c r="I106" s="10">
        <f>K106</f>
        <v/>
      </c>
      <c r="J106" s="14" t="n">
        <v>0</v>
      </c>
      <c r="K106" s="13" t="n">
        <v>999999999</v>
      </c>
      <c r="L106" s="10">
        <f>N106</f>
        <v/>
      </c>
      <c r="M106" s="14" t="n">
        <v>0</v>
      </c>
      <c r="N106" s="13" t="n">
        <v>999999999</v>
      </c>
      <c r="O106" s="10">
        <f>Q106</f>
        <v/>
      </c>
      <c r="P106" s="14" t="n">
        <v>0</v>
      </c>
      <c r="Q106" s="13" t="n">
        <v>999999999</v>
      </c>
      <c r="R106" s="10">
        <f>T106</f>
        <v/>
      </c>
      <c r="S106" s="14" t="n">
        <v>0</v>
      </c>
      <c r="T106" s="13" t="n">
        <v>999999999</v>
      </c>
      <c r="U106" s="10">
        <f>W106</f>
        <v/>
      </c>
      <c r="V106" s="14" t="n">
        <v>0</v>
      </c>
      <c r="W106" s="13" t="n">
        <v>999999999</v>
      </c>
      <c r="X106" s="10">
        <f>Z106</f>
        <v/>
      </c>
      <c r="Y106" s="14" t="n">
        <v>0</v>
      </c>
      <c r="Z106" s="13" t="n">
        <v>999999999</v>
      </c>
      <c r="AA106" s="10" t="n">
        <v>999999999</v>
      </c>
    </row>
    <row r="107">
      <c r="A107" s="12" t="inlineStr">
        <is>
          <t>PA</t>
        </is>
      </c>
      <c r="B107" s="12" t="inlineStr">
        <is>
          <t>Single</t>
        </is>
      </c>
      <c r="C107" s="7">
        <f>A107&amp;"|"&amp;B107</f>
        <v/>
      </c>
      <c r="D107" s="14" t="n">
        <v>0.0307</v>
      </c>
      <c r="E107" s="13" t="n">
        <v>0</v>
      </c>
      <c r="F107" s="10">
        <f>H107</f>
        <v/>
      </c>
      <c r="G107" s="14" t="n">
        <v>0</v>
      </c>
      <c r="H107" s="13" t="n">
        <v>999999999</v>
      </c>
      <c r="I107" s="10">
        <f>K107</f>
        <v/>
      </c>
      <c r="J107" s="14" t="n">
        <v>0</v>
      </c>
      <c r="K107" s="13" t="n">
        <v>999999999</v>
      </c>
      <c r="L107" s="10">
        <f>N107</f>
        <v/>
      </c>
      <c r="M107" s="14" t="n">
        <v>0</v>
      </c>
      <c r="N107" s="13" t="n">
        <v>999999999</v>
      </c>
      <c r="O107" s="10">
        <f>Q107</f>
        <v/>
      </c>
      <c r="P107" s="14" t="n">
        <v>0</v>
      </c>
      <c r="Q107" s="13" t="n">
        <v>999999999</v>
      </c>
      <c r="R107" s="10">
        <f>T107</f>
        <v/>
      </c>
      <c r="S107" s="14" t="n">
        <v>0</v>
      </c>
      <c r="T107" s="13" t="n">
        <v>999999999</v>
      </c>
      <c r="U107" s="10">
        <f>W107</f>
        <v/>
      </c>
      <c r="V107" s="14" t="n">
        <v>0</v>
      </c>
      <c r="W107" s="13" t="n">
        <v>999999999</v>
      </c>
      <c r="X107" s="10">
        <f>Z107</f>
        <v/>
      </c>
      <c r="Y107" s="14" t="n">
        <v>0</v>
      </c>
      <c r="Z107" s="13" t="n">
        <v>999999999</v>
      </c>
      <c r="AA107" s="10" t="n">
        <v>999999999</v>
      </c>
    </row>
    <row r="108">
      <c r="A108" s="12" t="inlineStr">
        <is>
          <t>PA</t>
        </is>
      </c>
      <c r="B108" s="12" t="inlineStr">
        <is>
          <t>MFJ</t>
        </is>
      </c>
      <c r="C108" s="7">
        <f>A108&amp;"|"&amp;B108</f>
        <v/>
      </c>
      <c r="D108" s="14" t="n">
        <v>0.0307</v>
      </c>
      <c r="E108" s="13" t="n">
        <v>0</v>
      </c>
      <c r="F108" s="10">
        <f>H108</f>
        <v/>
      </c>
      <c r="G108" s="14" t="n">
        <v>0</v>
      </c>
      <c r="H108" s="13" t="n">
        <v>999999999</v>
      </c>
      <c r="I108" s="10">
        <f>K108</f>
        <v/>
      </c>
      <c r="J108" s="14" t="n">
        <v>0</v>
      </c>
      <c r="K108" s="13" t="n">
        <v>999999999</v>
      </c>
      <c r="L108" s="10">
        <f>N108</f>
        <v/>
      </c>
      <c r="M108" s="14" t="n">
        <v>0</v>
      </c>
      <c r="N108" s="13" t="n">
        <v>999999999</v>
      </c>
      <c r="O108" s="10">
        <f>Q108</f>
        <v/>
      </c>
      <c r="P108" s="14" t="n">
        <v>0</v>
      </c>
      <c r="Q108" s="13" t="n">
        <v>999999999</v>
      </c>
      <c r="R108" s="10">
        <f>T108</f>
        <v/>
      </c>
      <c r="S108" s="14" t="n">
        <v>0</v>
      </c>
      <c r="T108" s="13" t="n">
        <v>999999999</v>
      </c>
      <c r="U108" s="10">
        <f>W108</f>
        <v/>
      </c>
      <c r="V108" s="14" t="n">
        <v>0</v>
      </c>
      <c r="W108" s="13" t="n">
        <v>999999999</v>
      </c>
      <c r="X108" s="10">
        <f>Z108</f>
        <v/>
      </c>
      <c r="Y108" s="14" t="n">
        <v>0</v>
      </c>
      <c r="Z108" s="13" t="n">
        <v>999999999</v>
      </c>
      <c r="AA108" s="10" t="n">
        <v>999999999</v>
      </c>
    </row>
    <row r="109">
      <c r="A109" s="12" t="inlineStr">
        <is>
          <t>UT</t>
        </is>
      </c>
      <c r="B109" s="12" t="inlineStr">
        <is>
          <t>Single</t>
        </is>
      </c>
      <c r="C109" s="7">
        <f>A109&amp;"|"&amp;B109</f>
        <v/>
      </c>
      <c r="D109" s="14" t="n">
        <v>0.0455</v>
      </c>
      <c r="E109" s="13" t="n">
        <v>0</v>
      </c>
      <c r="F109" s="10">
        <f>H109</f>
        <v/>
      </c>
      <c r="G109" s="14" t="n">
        <v>0</v>
      </c>
      <c r="H109" s="13" t="n">
        <v>999999999</v>
      </c>
      <c r="I109" s="10">
        <f>K109</f>
        <v/>
      </c>
      <c r="J109" s="14" t="n">
        <v>0</v>
      </c>
      <c r="K109" s="13" t="n">
        <v>999999999</v>
      </c>
      <c r="L109" s="10">
        <f>N109</f>
        <v/>
      </c>
      <c r="M109" s="14" t="n">
        <v>0</v>
      </c>
      <c r="N109" s="13" t="n">
        <v>999999999</v>
      </c>
      <c r="O109" s="10">
        <f>Q109</f>
        <v/>
      </c>
      <c r="P109" s="14" t="n">
        <v>0</v>
      </c>
      <c r="Q109" s="13" t="n">
        <v>999999999</v>
      </c>
      <c r="R109" s="10">
        <f>T109</f>
        <v/>
      </c>
      <c r="S109" s="14" t="n">
        <v>0</v>
      </c>
      <c r="T109" s="13" t="n">
        <v>999999999</v>
      </c>
      <c r="U109" s="10">
        <f>W109</f>
        <v/>
      </c>
      <c r="V109" s="14" t="n">
        <v>0</v>
      </c>
      <c r="W109" s="13" t="n">
        <v>999999999</v>
      </c>
      <c r="X109" s="10">
        <f>Z109</f>
        <v/>
      </c>
      <c r="Y109" s="14" t="n">
        <v>0</v>
      </c>
      <c r="Z109" s="13" t="n">
        <v>999999999</v>
      </c>
      <c r="AA109" s="10" t="n">
        <v>999999999</v>
      </c>
    </row>
    <row r="110">
      <c r="A110" s="12" t="inlineStr">
        <is>
          <t>UT</t>
        </is>
      </c>
      <c r="B110" s="12" t="inlineStr">
        <is>
          <t>MFJ</t>
        </is>
      </c>
      <c r="C110" s="7">
        <f>A110&amp;"|"&amp;B110</f>
        <v/>
      </c>
      <c r="D110" s="14" t="n">
        <v>0.0455</v>
      </c>
      <c r="E110" s="13" t="n">
        <v>0</v>
      </c>
      <c r="F110" s="10">
        <f>H110</f>
        <v/>
      </c>
      <c r="G110" s="14" t="n">
        <v>0</v>
      </c>
      <c r="H110" s="13" t="n">
        <v>999999999</v>
      </c>
      <c r="I110" s="10">
        <f>K110</f>
        <v/>
      </c>
      <c r="J110" s="14" t="n">
        <v>0</v>
      </c>
      <c r="K110" s="13" t="n">
        <v>999999999</v>
      </c>
      <c r="L110" s="10">
        <f>N110</f>
        <v/>
      </c>
      <c r="M110" s="14" t="n">
        <v>0</v>
      </c>
      <c r="N110" s="13" t="n">
        <v>999999999</v>
      </c>
      <c r="O110" s="10">
        <f>Q110</f>
        <v/>
      </c>
      <c r="P110" s="14" t="n">
        <v>0</v>
      </c>
      <c r="Q110" s="13" t="n">
        <v>999999999</v>
      </c>
      <c r="R110" s="10">
        <f>T110</f>
        <v/>
      </c>
      <c r="S110" s="14" t="n">
        <v>0</v>
      </c>
      <c r="T110" s="13" t="n">
        <v>999999999</v>
      </c>
      <c r="U110" s="10">
        <f>W110</f>
        <v/>
      </c>
      <c r="V110" s="14" t="n">
        <v>0</v>
      </c>
      <c r="W110" s="13" t="n">
        <v>999999999</v>
      </c>
      <c r="X110" s="10">
        <f>Z110</f>
        <v/>
      </c>
      <c r="Y110" s="14" t="n">
        <v>0</v>
      </c>
      <c r="Z110" s="13" t="n">
        <v>999999999</v>
      </c>
      <c r="AA110" s="10" t="n">
        <v>999999999</v>
      </c>
    </row>
    <row r="111">
      <c r="A111" s="12" t="inlineStr">
        <is>
          <t>KY</t>
        </is>
      </c>
      <c r="B111" s="12" t="inlineStr">
        <is>
          <t>Single</t>
        </is>
      </c>
      <c r="C111" s="7">
        <f>A111&amp;"|"&amp;B111</f>
        <v/>
      </c>
      <c r="D111" s="14" t="n">
        <v>0.04</v>
      </c>
      <c r="E111" s="13" t="n">
        <v>0</v>
      </c>
      <c r="F111" s="10">
        <f>H111</f>
        <v/>
      </c>
      <c r="G111" s="14" t="n">
        <v>0</v>
      </c>
      <c r="H111" s="13" t="n">
        <v>999999999</v>
      </c>
      <c r="I111" s="10">
        <f>K111</f>
        <v/>
      </c>
      <c r="J111" s="14" t="n">
        <v>0</v>
      </c>
      <c r="K111" s="13" t="n">
        <v>999999999</v>
      </c>
      <c r="L111" s="10">
        <f>N111</f>
        <v/>
      </c>
      <c r="M111" s="14" t="n">
        <v>0</v>
      </c>
      <c r="N111" s="13" t="n">
        <v>999999999</v>
      </c>
      <c r="O111" s="10">
        <f>Q111</f>
        <v/>
      </c>
      <c r="P111" s="14" t="n">
        <v>0</v>
      </c>
      <c r="Q111" s="13" t="n">
        <v>999999999</v>
      </c>
      <c r="R111" s="10">
        <f>T111</f>
        <v/>
      </c>
      <c r="S111" s="14" t="n">
        <v>0</v>
      </c>
      <c r="T111" s="13" t="n">
        <v>999999999</v>
      </c>
      <c r="U111" s="10">
        <f>W111</f>
        <v/>
      </c>
      <c r="V111" s="14" t="n">
        <v>0</v>
      </c>
      <c r="W111" s="13" t="n">
        <v>999999999</v>
      </c>
      <c r="X111" s="10">
        <f>Z111</f>
        <v/>
      </c>
      <c r="Y111" s="14" t="n">
        <v>0</v>
      </c>
      <c r="Z111" s="13" t="n">
        <v>999999999</v>
      </c>
      <c r="AA111" s="10" t="n">
        <v>999999999</v>
      </c>
    </row>
    <row r="112">
      <c r="A112" s="12" t="inlineStr">
        <is>
          <t>KY</t>
        </is>
      </c>
      <c r="B112" s="12" t="inlineStr">
        <is>
          <t>MFJ</t>
        </is>
      </c>
      <c r="C112" s="7">
        <f>A112&amp;"|"&amp;B112</f>
        <v/>
      </c>
      <c r="D112" s="14" t="n">
        <v>0.04</v>
      </c>
      <c r="E112" s="13" t="n">
        <v>0</v>
      </c>
      <c r="F112" s="10">
        <f>H112</f>
        <v/>
      </c>
      <c r="G112" s="14" t="n">
        <v>0</v>
      </c>
      <c r="H112" s="13" t="n">
        <v>999999999</v>
      </c>
      <c r="I112" s="10">
        <f>K112</f>
        <v/>
      </c>
      <c r="J112" s="14" t="n">
        <v>0</v>
      </c>
      <c r="K112" s="13" t="n">
        <v>999999999</v>
      </c>
      <c r="L112" s="10">
        <f>N112</f>
        <v/>
      </c>
      <c r="M112" s="14" t="n">
        <v>0</v>
      </c>
      <c r="N112" s="13" t="n">
        <v>999999999</v>
      </c>
      <c r="O112" s="10">
        <f>Q112</f>
        <v/>
      </c>
      <c r="P112" s="14" t="n">
        <v>0</v>
      </c>
      <c r="Q112" s="13" t="n">
        <v>999999999</v>
      </c>
      <c r="R112" s="10">
        <f>T112</f>
        <v/>
      </c>
      <c r="S112" s="14" t="n">
        <v>0</v>
      </c>
      <c r="T112" s="13" t="n">
        <v>999999999</v>
      </c>
      <c r="U112" s="10">
        <f>W112</f>
        <v/>
      </c>
      <c r="V112" s="14" t="n">
        <v>0</v>
      </c>
      <c r="W112" s="13" t="n">
        <v>999999999</v>
      </c>
      <c r="X112" s="10">
        <f>Z112</f>
        <v/>
      </c>
      <c r="Y112" s="14" t="n">
        <v>0</v>
      </c>
      <c r="Z112" s="13" t="n">
        <v>999999999</v>
      </c>
      <c r="AA112" s="10" t="n">
        <v>999999999</v>
      </c>
    </row>
    <row r="113">
      <c r="A113" s="12" t="inlineStr">
        <is>
          <t>AZ</t>
        </is>
      </c>
      <c r="B113" s="12" t="inlineStr">
        <is>
          <t>Single</t>
        </is>
      </c>
      <c r="C113" s="7">
        <f>A113&amp;"|"&amp;B113</f>
        <v/>
      </c>
      <c r="D113" s="14" t="n">
        <v>0.025</v>
      </c>
      <c r="E113" s="13" t="n">
        <v>0</v>
      </c>
      <c r="F113" s="10">
        <f>H113</f>
        <v/>
      </c>
      <c r="G113" s="14" t="n">
        <v>0</v>
      </c>
      <c r="H113" s="13" t="n">
        <v>999999999</v>
      </c>
      <c r="I113" s="10">
        <f>K113</f>
        <v/>
      </c>
      <c r="J113" s="14" t="n">
        <v>0</v>
      </c>
      <c r="K113" s="13" t="n">
        <v>999999999</v>
      </c>
      <c r="L113" s="10">
        <f>N113</f>
        <v/>
      </c>
      <c r="M113" s="14" t="n">
        <v>0</v>
      </c>
      <c r="N113" s="13" t="n">
        <v>999999999</v>
      </c>
      <c r="O113" s="10">
        <f>Q113</f>
        <v/>
      </c>
      <c r="P113" s="14" t="n">
        <v>0</v>
      </c>
      <c r="Q113" s="13" t="n">
        <v>999999999</v>
      </c>
      <c r="R113" s="10">
        <f>T113</f>
        <v/>
      </c>
      <c r="S113" s="14" t="n">
        <v>0</v>
      </c>
      <c r="T113" s="13" t="n">
        <v>999999999</v>
      </c>
      <c r="U113" s="10">
        <f>W113</f>
        <v/>
      </c>
      <c r="V113" s="14" t="n">
        <v>0</v>
      </c>
      <c r="W113" s="13" t="n">
        <v>999999999</v>
      </c>
      <c r="X113" s="10">
        <f>Z113</f>
        <v/>
      </c>
      <c r="Y113" s="14" t="n">
        <v>0</v>
      </c>
      <c r="Z113" s="13" t="n">
        <v>999999999</v>
      </c>
      <c r="AA113" s="10" t="n">
        <v>999999999</v>
      </c>
    </row>
    <row r="114">
      <c r="A114" s="12" t="inlineStr">
        <is>
          <t>AZ</t>
        </is>
      </c>
      <c r="B114" s="12" t="inlineStr">
        <is>
          <t>MFJ</t>
        </is>
      </c>
      <c r="C114" s="7">
        <f>A114&amp;"|"&amp;B114</f>
        <v/>
      </c>
      <c r="D114" s="14" t="n">
        <v>0.025</v>
      </c>
      <c r="E114" s="13" t="n">
        <v>0</v>
      </c>
      <c r="F114" s="10">
        <f>H114</f>
        <v/>
      </c>
      <c r="G114" s="14" t="n">
        <v>0</v>
      </c>
      <c r="H114" s="13" t="n">
        <v>999999999</v>
      </c>
      <c r="I114" s="10">
        <f>K114</f>
        <v/>
      </c>
      <c r="J114" s="14" t="n">
        <v>0</v>
      </c>
      <c r="K114" s="13" t="n">
        <v>999999999</v>
      </c>
      <c r="L114" s="10">
        <f>N114</f>
        <v/>
      </c>
      <c r="M114" s="14" t="n">
        <v>0</v>
      </c>
      <c r="N114" s="13" t="n">
        <v>999999999</v>
      </c>
      <c r="O114" s="10">
        <f>Q114</f>
        <v/>
      </c>
      <c r="P114" s="14" t="n">
        <v>0</v>
      </c>
      <c r="Q114" s="13" t="n">
        <v>999999999</v>
      </c>
      <c r="R114" s="10">
        <f>T114</f>
        <v/>
      </c>
      <c r="S114" s="14" t="n">
        <v>0</v>
      </c>
      <c r="T114" s="13" t="n">
        <v>999999999</v>
      </c>
      <c r="U114" s="10">
        <f>W114</f>
        <v/>
      </c>
      <c r="V114" s="14" t="n">
        <v>0</v>
      </c>
      <c r="W114" s="13" t="n">
        <v>999999999</v>
      </c>
      <c r="X114" s="10">
        <f>Z114</f>
        <v/>
      </c>
      <c r="Y114" s="14" t="n">
        <v>0</v>
      </c>
      <c r="Z114" s="13" t="n">
        <v>999999999</v>
      </c>
      <c r="AA114" s="10" t="n">
        <v>999999999</v>
      </c>
    </row>
    <row r="115">
      <c r="A115" s="12" t="inlineStr">
        <is>
          <t>GA</t>
        </is>
      </c>
      <c r="B115" s="12" t="inlineStr">
        <is>
          <t>Single</t>
        </is>
      </c>
      <c r="C115" s="7">
        <f>A115&amp;"|"&amp;B115</f>
        <v/>
      </c>
      <c r="D115" s="14" t="n">
        <v>0.0539</v>
      </c>
      <c r="E115" s="13" t="n">
        <v>0</v>
      </c>
      <c r="F115" s="10">
        <f>H115</f>
        <v/>
      </c>
      <c r="G115" s="14" t="n">
        <v>0</v>
      </c>
      <c r="H115" s="13" t="n">
        <v>999999999</v>
      </c>
      <c r="I115" s="10">
        <f>K115</f>
        <v/>
      </c>
      <c r="J115" s="14" t="n">
        <v>0</v>
      </c>
      <c r="K115" s="13" t="n">
        <v>999999999</v>
      </c>
      <c r="L115" s="10">
        <f>N115</f>
        <v/>
      </c>
      <c r="M115" s="14" t="n">
        <v>0</v>
      </c>
      <c r="N115" s="13" t="n">
        <v>999999999</v>
      </c>
      <c r="O115" s="10">
        <f>Q115</f>
        <v/>
      </c>
      <c r="P115" s="14" t="n">
        <v>0</v>
      </c>
      <c r="Q115" s="13" t="n">
        <v>999999999</v>
      </c>
      <c r="R115" s="10">
        <f>T115</f>
        <v/>
      </c>
      <c r="S115" s="14" t="n">
        <v>0</v>
      </c>
      <c r="T115" s="13" t="n">
        <v>999999999</v>
      </c>
      <c r="U115" s="10">
        <f>W115</f>
        <v/>
      </c>
      <c r="V115" s="14" t="n">
        <v>0</v>
      </c>
      <c r="W115" s="13" t="n">
        <v>999999999</v>
      </c>
      <c r="X115" s="10">
        <f>Z115</f>
        <v/>
      </c>
      <c r="Y115" s="14" t="n">
        <v>0</v>
      </c>
      <c r="Z115" s="13" t="n">
        <v>999999999</v>
      </c>
      <c r="AA115" s="10" t="n">
        <v>999999999</v>
      </c>
    </row>
    <row r="116">
      <c r="A116" s="12" t="inlineStr">
        <is>
          <t>GA</t>
        </is>
      </c>
      <c r="B116" s="12" t="inlineStr">
        <is>
          <t>MFJ</t>
        </is>
      </c>
      <c r="C116" s="7">
        <f>A116&amp;"|"&amp;B116</f>
        <v/>
      </c>
      <c r="D116" s="14" t="n">
        <v>0.0539</v>
      </c>
      <c r="E116" s="13" t="n">
        <v>0</v>
      </c>
      <c r="F116" s="10">
        <f>H116</f>
        <v/>
      </c>
      <c r="G116" s="14" t="n">
        <v>0</v>
      </c>
      <c r="H116" s="13" t="n">
        <v>999999999</v>
      </c>
      <c r="I116" s="10">
        <f>K116</f>
        <v/>
      </c>
      <c r="J116" s="14" t="n">
        <v>0</v>
      </c>
      <c r="K116" s="13" t="n">
        <v>999999999</v>
      </c>
      <c r="L116" s="10">
        <f>N116</f>
        <v/>
      </c>
      <c r="M116" s="14" t="n">
        <v>0</v>
      </c>
      <c r="N116" s="13" t="n">
        <v>999999999</v>
      </c>
      <c r="O116" s="10">
        <f>Q116</f>
        <v/>
      </c>
      <c r="P116" s="14" t="n">
        <v>0</v>
      </c>
      <c r="Q116" s="13" t="n">
        <v>999999999</v>
      </c>
      <c r="R116" s="10">
        <f>T116</f>
        <v/>
      </c>
      <c r="S116" s="14" t="n">
        <v>0</v>
      </c>
      <c r="T116" s="13" t="n">
        <v>999999999</v>
      </c>
      <c r="U116" s="10">
        <f>W116</f>
        <v/>
      </c>
      <c r="V116" s="14" t="n">
        <v>0</v>
      </c>
      <c r="W116" s="13" t="n">
        <v>999999999</v>
      </c>
      <c r="X116" s="10">
        <f>Z116</f>
        <v/>
      </c>
      <c r="Y116" s="14" t="n">
        <v>0</v>
      </c>
      <c r="Z116" s="13" t="n">
        <v>999999999</v>
      </c>
      <c r="AA116" s="10" t="n">
        <v>999999999</v>
      </c>
    </row>
    <row r="117">
      <c r="A117" s="12" t="inlineStr">
        <is>
          <t>MA</t>
        </is>
      </c>
      <c r="B117" s="12" t="inlineStr">
        <is>
          <t>Single</t>
        </is>
      </c>
      <c r="C117" s="7">
        <f>A117&amp;"|"&amp;B117</f>
        <v/>
      </c>
      <c r="D117" s="14" t="n">
        <v>0.05</v>
      </c>
      <c r="E117" s="13" t="n">
        <v>0</v>
      </c>
      <c r="F117" s="10">
        <f>H117</f>
        <v/>
      </c>
      <c r="G117" s="14" t="n">
        <v>0.09</v>
      </c>
      <c r="H117" s="13" t="n">
        <v>1000000</v>
      </c>
      <c r="I117" s="10">
        <f>K117</f>
        <v/>
      </c>
      <c r="J117" s="14" t="n">
        <v>0</v>
      </c>
      <c r="K117" s="13" t="n">
        <v>999999999</v>
      </c>
      <c r="L117" s="10">
        <f>N117</f>
        <v/>
      </c>
      <c r="M117" s="14" t="n">
        <v>0</v>
      </c>
      <c r="N117" s="13" t="n">
        <v>999999999</v>
      </c>
      <c r="O117" s="10">
        <f>Q117</f>
        <v/>
      </c>
      <c r="P117" s="14" t="n">
        <v>0</v>
      </c>
      <c r="Q117" s="13" t="n">
        <v>999999999</v>
      </c>
      <c r="R117" s="10">
        <f>T117</f>
        <v/>
      </c>
      <c r="S117" s="14" t="n">
        <v>0</v>
      </c>
      <c r="T117" s="13" t="n">
        <v>999999999</v>
      </c>
      <c r="U117" s="10">
        <f>W117</f>
        <v/>
      </c>
      <c r="V117" s="14" t="n">
        <v>0</v>
      </c>
      <c r="W117" s="13" t="n">
        <v>999999999</v>
      </c>
      <c r="X117" s="10">
        <f>Z117</f>
        <v/>
      </c>
      <c r="Y117" s="14" t="n">
        <v>0</v>
      </c>
      <c r="Z117" s="13" t="n">
        <v>999999999</v>
      </c>
      <c r="AA117" s="10" t="n">
        <v>999999999</v>
      </c>
    </row>
    <row r="118">
      <c r="A118" s="12" t="inlineStr">
        <is>
          <t>MA</t>
        </is>
      </c>
      <c r="B118" s="12" t="inlineStr">
        <is>
          <t>MFJ</t>
        </is>
      </c>
      <c r="C118" s="7">
        <f>A118&amp;"|"&amp;B118</f>
        <v/>
      </c>
      <c r="D118" s="14" t="n">
        <v>0.05</v>
      </c>
      <c r="E118" s="13" t="n">
        <v>0</v>
      </c>
      <c r="F118" s="10">
        <f>H118</f>
        <v/>
      </c>
      <c r="G118" s="14" t="n">
        <v>0.09</v>
      </c>
      <c r="H118" s="13" t="n">
        <v>1000000</v>
      </c>
      <c r="I118" s="10">
        <f>K118</f>
        <v/>
      </c>
      <c r="J118" s="14" t="n">
        <v>0</v>
      </c>
      <c r="K118" s="13" t="n">
        <v>999999999</v>
      </c>
      <c r="L118" s="10">
        <f>N118</f>
        <v/>
      </c>
      <c r="M118" s="14" t="n">
        <v>0</v>
      </c>
      <c r="N118" s="13" t="n">
        <v>999999999</v>
      </c>
      <c r="O118" s="10">
        <f>Q118</f>
        <v/>
      </c>
      <c r="P118" s="14" t="n">
        <v>0</v>
      </c>
      <c r="Q118" s="13" t="n">
        <v>999999999</v>
      </c>
      <c r="R118" s="10">
        <f>T118</f>
        <v/>
      </c>
      <c r="S118" s="14" t="n">
        <v>0</v>
      </c>
      <c r="T118" s="13" t="n">
        <v>999999999</v>
      </c>
      <c r="U118" s="10">
        <f>W118</f>
        <v/>
      </c>
      <c r="V118" s="14" t="n">
        <v>0</v>
      </c>
      <c r="W118" s="13" t="n">
        <v>999999999</v>
      </c>
      <c r="X118" s="10">
        <f>Z118</f>
        <v/>
      </c>
      <c r="Y118" s="14" t="n">
        <v>0</v>
      </c>
      <c r="Z118" s="13" t="n">
        <v>999999999</v>
      </c>
      <c r="AA118" s="10" t="n">
        <v>999999999</v>
      </c>
    </row>
    <row r="119">
      <c r="A119" s="12" t="inlineStr">
        <is>
          <t>CA</t>
        </is>
      </c>
      <c r="B119" s="12" t="inlineStr">
        <is>
          <t>Single</t>
        </is>
      </c>
      <c r="C119" s="7">
        <f>A119&amp;"|"&amp;B119</f>
        <v/>
      </c>
      <c r="D119" s="14" t="n">
        <v>0.01</v>
      </c>
      <c r="E119" s="13" t="n">
        <v>0</v>
      </c>
      <c r="F119" s="10">
        <f>H119</f>
        <v/>
      </c>
      <c r="G119" s="14" t="n">
        <v>0.02</v>
      </c>
      <c r="H119" s="13" t="n">
        <v>10412</v>
      </c>
      <c r="I119" s="10">
        <f>K119</f>
        <v/>
      </c>
      <c r="J119" s="14" t="n">
        <v>0.04</v>
      </c>
      <c r="K119" s="13" t="n">
        <v>24684</v>
      </c>
      <c r="L119" s="10">
        <f>N119</f>
        <v/>
      </c>
      <c r="M119" s="14" t="n">
        <v>0.06</v>
      </c>
      <c r="N119" s="13" t="n">
        <v>38959</v>
      </c>
      <c r="O119" s="10">
        <f>Q119</f>
        <v/>
      </c>
      <c r="P119" s="14" t="n">
        <v>0.08</v>
      </c>
      <c r="Q119" s="13" t="n">
        <v>54081</v>
      </c>
      <c r="R119" s="10">
        <f>T119</f>
        <v/>
      </c>
      <c r="S119" s="14" t="n">
        <v>0.093</v>
      </c>
      <c r="T119" s="13" t="n">
        <v>68350</v>
      </c>
      <c r="U119" s="10">
        <f>W119</f>
        <v/>
      </c>
      <c r="V119" s="14" t="n">
        <v>0.103</v>
      </c>
      <c r="W119" s="13" t="n">
        <v>349137</v>
      </c>
      <c r="X119" s="10">
        <f>Z119</f>
        <v/>
      </c>
      <c r="Y119" s="14" t="n">
        <v>0.123</v>
      </c>
      <c r="Z119" s="13" t="n">
        <v>418961</v>
      </c>
      <c r="AA119" s="10" t="n">
        <v>999999999</v>
      </c>
    </row>
    <row r="120">
      <c r="A120" s="12" t="inlineStr">
        <is>
          <t>CA</t>
        </is>
      </c>
      <c r="B120" s="12" t="inlineStr">
        <is>
          <t>MFJ</t>
        </is>
      </c>
      <c r="C120" s="7">
        <f>A120&amp;"|"&amp;B120</f>
        <v/>
      </c>
      <c r="D120" s="14" t="n">
        <v>0.01</v>
      </c>
      <c r="E120" s="13" t="n">
        <v>0</v>
      </c>
      <c r="F120" s="10">
        <f>H120</f>
        <v/>
      </c>
      <c r="G120" s="14" t="n">
        <v>0.02</v>
      </c>
      <c r="H120" s="13" t="n">
        <v>20824</v>
      </c>
      <c r="I120" s="10">
        <f>K120</f>
        <v/>
      </c>
      <c r="J120" s="14" t="n">
        <v>0.04</v>
      </c>
      <c r="K120" s="13" t="n">
        <v>49368</v>
      </c>
      <c r="L120" s="10">
        <f>N120</f>
        <v/>
      </c>
      <c r="M120" s="14" t="n">
        <v>0.06</v>
      </c>
      <c r="N120" s="13" t="n">
        <v>77918</v>
      </c>
      <c r="O120" s="10">
        <f>Q120</f>
        <v/>
      </c>
      <c r="P120" s="14" t="n">
        <v>0.08</v>
      </c>
      <c r="Q120" s="13" t="n">
        <v>108162</v>
      </c>
      <c r="R120" s="10">
        <f>T120</f>
        <v/>
      </c>
      <c r="S120" s="14" t="n">
        <v>0.093</v>
      </c>
      <c r="T120" s="13" t="n">
        <v>136700</v>
      </c>
      <c r="U120" s="10">
        <f>W120</f>
        <v/>
      </c>
      <c r="V120" s="14" t="n">
        <v>0.103</v>
      </c>
      <c r="W120" s="13" t="n">
        <v>698274</v>
      </c>
      <c r="X120" s="10">
        <f>Z120</f>
        <v/>
      </c>
      <c r="Y120" s="14" t="n">
        <v>0.123</v>
      </c>
      <c r="Z120" s="13" t="n">
        <v>837922</v>
      </c>
      <c r="AA120" s="10" t="n">
        <v>999999999</v>
      </c>
    </row>
    <row r="121">
      <c r="A121" s="12" t="inlineStr">
        <is>
          <t>NY</t>
        </is>
      </c>
      <c r="B121" s="12" t="inlineStr">
        <is>
          <t>Single</t>
        </is>
      </c>
      <c r="C121" s="7">
        <f>A121&amp;"|"&amp;B121</f>
        <v/>
      </c>
      <c r="D121" s="14" t="n">
        <v>0.04</v>
      </c>
      <c r="E121" s="13" t="n">
        <v>0</v>
      </c>
      <c r="F121" s="10">
        <f>H121</f>
        <v/>
      </c>
      <c r="G121" s="14" t="n">
        <v>0.045</v>
      </c>
      <c r="H121" s="13" t="n">
        <v>8500</v>
      </c>
      <c r="I121" s="10">
        <f>K121</f>
        <v/>
      </c>
      <c r="J121" s="14" t="n">
        <v>0.0525</v>
      </c>
      <c r="K121" s="13" t="n">
        <v>11700</v>
      </c>
      <c r="L121" s="10">
        <f>N121</f>
        <v/>
      </c>
      <c r="M121" s="14" t="n">
        <v>0.055</v>
      </c>
      <c r="N121" s="13" t="n">
        <v>13900</v>
      </c>
      <c r="O121" s="10">
        <f>Q121</f>
        <v/>
      </c>
      <c r="P121" s="14" t="n">
        <v>0.06</v>
      </c>
      <c r="Q121" s="13" t="n">
        <v>80650</v>
      </c>
      <c r="R121" s="10">
        <f>T121</f>
        <v/>
      </c>
      <c r="S121" s="14" t="n">
        <v>0.06850000000000001</v>
      </c>
      <c r="T121" s="13" t="n">
        <v>215400</v>
      </c>
      <c r="U121" s="10">
        <f>W121</f>
        <v/>
      </c>
      <c r="V121" s="14" t="n">
        <v>0.0965</v>
      </c>
      <c r="W121" s="13" t="n">
        <v>1077550</v>
      </c>
      <c r="X121" s="10">
        <f>Z121</f>
        <v/>
      </c>
      <c r="Y121" s="14" t="n">
        <v>0.109</v>
      </c>
      <c r="Z121" s="13" t="n">
        <v>5000000</v>
      </c>
      <c r="AA121" s="10" t="n">
        <v>999999999</v>
      </c>
    </row>
    <row r="122">
      <c r="A122" s="12" t="inlineStr">
        <is>
          <t>NY</t>
        </is>
      </c>
      <c r="B122" s="12" t="inlineStr">
        <is>
          <t>MFJ</t>
        </is>
      </c>
      <c r="C122" s="7">
        <f>A122&amp;"|"&amp;B122</f>
        <v/>
      </c>
      <c r="D122" s="14" t="n">
        <v>0.04</v>
      </c>
      <c r="E122" s="13" t="n">
        <v>0</v>
      </c>
      <c r="F122" s="10">
        <f>H122</f>
        <v/>
      </c>
      <c r="G122" s="14" t="n">
        <v>0.045</v>
      </c>
      <c r="H122" s="13" t="n">
        <v>17150</v>
      </c>
      <c r="I122" s="10">
        <f>K122</f>
        <v/>
      </c>
      <c r="J122" s="14" t="n">
        <v>0.0525</v>
      </c>
      <c r="K122" s="13" t="n">
        <v>23600</v>
      </c>
      <c r="L122" s="10">
        <f>N122</f>
        <v/>
      </c>
      <c r="M122" s="14" t="n">
        <v>0.055</v>
      </c>
      <c r="N122" s="13" t="n">
        <v>27900</v>
      </c>
      <c r="O122" s="10">
        <f>Q122</f>
        <v/>
      </c>
      <c r="P122" s="14" t="n">
        <v>0.06</v>
      </c>
      <c r="Q122" s="13" t="n">
        <v>161550</v>
      </c>
      <c r="R122" s="10">
        <f>T122</f>
        <v/>
      </c>
      <c r="S122" s="14" t="n">
        <v>0.06850000000000001</v>
      </c>
      <c r="T122" s="13" t="n">
        <v>323200</v>
      </c>
      <c r="U122" s="10">
        <f>W122</f>
        <v/>
      </c>
      <c r="V122" s="14" t="n">
        <v>0.0965</v>
      </c>
      <c r="W122" s="13" t="n">
        <v>2155350</v>
      </c>
      <c r="X122" s="10">
        <f>Z122</f>
        <v/>
      </c>
      <c r="Y122" s="14" t="n">
        <v>0.109</v>
      </c>
      <c r="Z122" s="13" t="n">
        <v>5000000</v>
      </c>
      <c r="AA122" s="10" t="n">
        <v>999999999</v>
      </c>
    </row>
    <row r="123">
      <c r="A123" s="12" t="inlineStr">
        <is>
          <t>NJ</t>
        </is>
      </c>
      <c r="B123" s="12" t="inlineStr">
        <is>
          <t>Single</t>
        </is>
      </c>
      <c r="C123" s="7">
        <f>A123&amp;"|"&amp;B123</f>
        <v/>
      </c>
      <c r="D123" s="14" t="n">
        <v>0.014</v>
      </c>
      <c r="E123" s="13" t="n">
        <v>0</v>
      </c>
      <c r="F123" s="10">
        <f>H123</f>
        <v/>
      </c>
      <c r="G123" s="14" t="n">
        <v>0.0175</v>
      </c>
      <c r="H123" s="13" t="n">
        <v>20000</v>
      </c>
      <c r="I123" s="10">
        <f>K123</f>
        <v/>
      </c>
      <c r="J123" s="14" t="n">
        <v>0.035</v>
      </c>
      <c r="K123" s="13" t="n">
        <v>35000</v>
      </c>
      <c r="L123" s="10">
        <f>N123</f>
        <v/>
      </c>
      <c r="M123" s="14" t="n">
        <v>0.05525</v>
      </c>
      <c r="N123" s="13" t="n">
        <v>40000</v>
      </c>
      <c r="O123" s="10">
        <f>Q123</f>
        <v/>
      </c>
      <c r="P123" s="14" t="n">
        <v>0.06370000000000001</v>
      </c>
      <c r="Q123" s="13" t="n">
        <v>75000</v>
      </c>
      <c r="R123" s="10">
        <f>T123</f>
        <v/>
      </c>
      <c r="S123" s="14" t="n">
        <v>0.0897</v>
      </c>
      <c r="T123" s="13" t="n">
        <v>500000</v>
      </c>
      <c r="U123" s="10">
        <f>W123</f>
        <v/>
      </c>
      <c r="V123" s="14" t="n">
        <v>0.1075</v>
      </c>
      <c r="W123" s="13" t="n">
        <v>1000000</v>
      </c>
      <c r="X123" s="10">
        <f>Z123</f>
        <v/>
      </c>
      <c r="Y123" s="14" t="n">
        <v>0</v>
      </c>
      <c r="Z123" s="13" t="n">
        <v>999999999</v>
      </c>
      <c r="AA123" s="10" t="n">
        <v>999999999</v>
      </c>
    </row>
    <row r="124">
      <c r="A124" s="12" t="inlineStr">
        <is>
          <t>NJ</t>
        </is>
      </c>
      <c r="B124" s="12" t="inlineStr">
        <is>
          <t>MFJ</t>
        </is>
      </c>
      <c r="C124" s="7">
        <f>A124&amp;"|"&amp;B124</f>
        <v/>
      </c>
      <c r="D124" s="14" t="n">
        <v>0.014</v>
      </c>
      <c r="E124" s="13" t="n">
        <v>0</v>
      </c>
      <c r="F124" s="10">
        <f>H124</f>
        <v/>
      </c>
      <c r="G124" s="14" t="n">
        <v>0.0175</v>
      </c>
      <c r="H124" s="13" t="n">
        <v>20000</v>
      </c>
      <c r="I124" s="10">
        <f>K124</f>
        <v/>
      </c>
      <c r="J124" s="14" t="n">
        <v>0.0245</v>
      </c>
      <c r="K124" s="13" t="n">
        <v>50000</v>
      </c>
      <c r="L124" s="10">
        <f>N124</f>
        <v/>
      </c>
      <c r="M124" s="14" t="n">
        <v>0.035</v>
      </c>
      <c r="N124" s="13" t="n">
        <v>70000</v>
      </c>
      <c r="O124" s="10">
        <f>Q124</f>
        <v/>
      </c>
      <c r="P124" s="14" t="n">
        <v>0.05525</v>
      </c>
      <c r="Q124" s="13" t="n">
        <v>80000</v>
      </c>
      <c r="R124" s="10">
        <f>T124</f>
        <v/>
      </c>
      <c r="S124" s="14" t="n">
        <v>0.06370000000000001</v>
      </c>
      <c r="T124" s="13" t="n">
        <v>150000</v>
      </c>
      <c r="U124" s="10">
        <f>W124</f>
        <v/>
      </c>
      <c r="V124" s="14" t="n">
        <v>0.0897</v>
      </c>
      <c r="W124" s="13" t="n">
        <v>500000</v>
      </c>
      <c r="X124" s="10">
        <f>Z124</f>
        <v/>
      </c>
      <c r="Y124" s="14" t="n">
        <v>0.1075</v>
      </c>
      <c r="Z124" s="13" t="n">
        <v>1000000</v>
      </c>
      <c r="AA124" s="10" t="n">
        <v>999999999</v>
      </c>
    </row>
    <row r="125">
      <c r="A125" s="12" t="inlineStr">
        <is>
          <t>OR</t>
        </is>
      </c>
      <c r="B125" s="12" t="inlineStr">
        <is>
          <t>Single</t>
        </is>
      </c>
      <c r="C125" s="7">
        <f>A125&amp;"|"&amp;B125</f>
        <v/>
      </c>
      <c r="D125" s="14" t="n">
        <v>0.0475</v>
      </c>
      <c r="E125" s="13" t="n">
        <v>0</v>
      </c>
      <c r="F125" s="10">
        <f>H125</f>
        <v/>
      </c>
      <c r="G125" s="14" t="n">
        <v>0.0675</v>
      </c>
      <c r="H125" s="13" t="n">
        <v>4300</v>
      </c>
      <c r="I125" s="10">
        <f>K125</f>
        <v/>
      </c>
      <c r="J125" s="14" t="n">
        <v>0.08749999999999999</v>
      </c>
      <c r="K125" s="13" t="n">
        <v>10750</v>
      </c>
      <c r="L125" s="10">
        <f>N125</f>
        <v/>
      </c>
      <c r="M125" s="14" t="n">
        <v>0.099</v>
      </c>
      <c r="N125" s="13" t="n">
        <v>125000</v>
      </c>
      <c r="O125" s="10">
        <f>Q125</f>
        <v/>
      </c>
      <c r="P125" s="14" t="n">
        <v>0</v>
      </c>
      <c r="Q125" s="13" t="n">
        <v>999999999</v>
      </c>
      <c r="R125" s="10">
        <f>T125</f>
        <v/>
      </c>
      <c r="S125" s="14" t="n">
        <v>0</v>
      </c>
      <c r="T125" s="13" t="n">
        <v>999999999</v>
      </c>
      <c r="U125" s="10">
        <f>W125</f>
        <v/>
      </c>
      <c r="V125" s="14" t="n">
        <v>0</v>
      </c>
      <c r="W125" s="13" t="n">
        <v>999999999</v>
      </c>
      <c r="X125" s="10">
        <f>Z125</f>
        <v/>
      </c>
      <c r="Y125" s="14" t="n">
        <v>0</v>
      </c>
      <c r="Z125" s="13" t="n">
        <v>999999999</v>
      </c>
      <c r="AA125" s="10" t="n">
        <v>999999999</v>
      </c>
    </row>
    <row r="126">
      <c r="A126" s="12" t="inlineStr">
        <is>
          <t>OR</t>
        </is>
      </c>
      <c r="B126" s="12" t="inlineStr">
        <is>
          <t>MFJ</t>
        </is>
      </c>
      <c r="C126" s="7">
        <f>A126&amp;"|"&amp;B126</f>
        <v/>
      </c>
      <c r="D126" s="14" t="n">
        <v>0.0475</v>
      </c>
      <c r="E126" s="13" t="n">
        <v>0</v>
      </c>
      <c r="F126" s="10">
        <f>H126</f>
        <v/>
      </c>
      <c r="G126" s="14" t="n">
        <v>0.0675</v>
      </c>
      <c r="H126" s="13" t="n">
        <v>8600</v>
      </c>
      <c r="I126" s="10">
        <f>K126</f>
        <v/>
      </c>
      <c r="J126" s="14" t="n">
        <v>0.08749999999999999</v>
      </c>
      <c r="K126" s="13" t="n">
        <v>21500</v>
      </c>
      <c r="L126" s="10">
        <f>N126</f>
        <v/>
      </c>
      <c r="M126" s="14" t="n">
        <v>0.099</v>
      </c>
      <c r="N126" s="13" t="n">
        <v>250000</v>
      </c>
      <c r="O126" s="10">
        <f>Q126</f>
        <v/>
      </c>
      <c r="P126" s="14" t="n">
        <v>0</v>
      </c>
      <c r="Q126" s="13" t="n">
        <v>999999999</v>
      </c>
      <c r="R126" s="10">
        <f>T126</f>
        <v/>
      </c>
      <c r="S126" s="14" t="n">
        <v>0</v>
      </c>
      <c r="T126" s="13" t="n">
        <v>999999999</v>
      </c>
      <c r="U126" s="10">
        <f>W126</f>
        <v/>
      </c>
      <c r="V126" s="14" t="n">
        <v>0</v>
      </c>
      <c r="W126" s="13" t="n">
        <v>999999999</v>
      </c>
      <c r="X126" s="10">
        <f>Z126</f>
        <v/>
      </c>
      <c r="Y126" s="14" t="n">
        <v>0</v>
      </c>
      <c r="Z126" s="13" t="n">
        <v>999999999</v>
      </c>
      <c r="AA126" s="10" t="n">
        <v>999999999</v>
      </c>
    </row>
    <row r="127">
      <c r="A127" s="12" t="inlineStr">
        <is>
          <t>MN</t>
        </is>
      </c>
      <c r="B127" s="12" t="inlineStr">
        <is>
          <t>Single</t>
        </is>
      </c>
      <c r="C127" s="7">
        <f>A127&amp;"|"&amp;B127</f>
        <v/>
      </c>
      <c r="D127" s="14" t="n">
        <v>0.0535</v>
      </c>
      <c r="E127" s="13" t="n">
        <v>0</v>
      </c>
      <c r="F127" s="10">
        <f>H127</f>
        <v/>
      </c>
      <c r="G127" s="14" t="n">
        <v>0.068</v>
      </c>
      <c r="H127" s="13" t="n">
        <v>31690</v>
      </c>
      <c r="I127" s="10">
        <f>K127</f>
        <v/>
      </c>
      <c r="J127" s="14" t="n">
        <v>0.0785</v>
      </c>
      <c r="K127" s="13" t="n">
        <v>104090</v>
      </c>
      <c r="L127" s="10">
        <f>N127</f>
        <v/>
      </c>
      <c r="M127" s="14" t="n">
        <v>0.0985</v>
      </c>
      <c r="N127" s="13" t="n">
        <v>193240</v>
      </c>
      <c r="O127" s="10">
        <f>Q127</f>
        <v/>
      </c>
      <c r="P127" s="14" t="n">
        <v>0</v>
      </c>
      <c r="Q127" s="13" t="n">
        <v>999999999</v>
      </c>
      <c r="R127" s="10">
        <f>T127</f>
        <v/>
      </c>
      <c r="S127" s="14" t="n">
        <v>0</v>
      </c>
      <c r="T127" s="13" t="n">
        <v>999999999</v>
      </c>
      <c r="U127" s="10">
        <f>W127</f>
        <v/>
      </c>
      <c r="V127" s="14" t="n">
        <v>0</v>
      </c>
      <c r="W127" s="13" t="n">
        <v>999999999</v>
      </c>
      <c r="X127" s="10">
        <f>Z127</f>
        <v/>
      </c>
      <c r="Y127" s="14" t="n">
        <v>0</v>
      </c>
      <c r="Z127" s="13" t="n">
        <v>999999999</v>
      </c>
      <c r="AA127" s="10" t="n">
        <v>999999999</v>
      </c>
    </row>
    <row r="128">
      <c r="A128" s="12" t="inlineStr">
        <is>
          <t>MN</t>
        </is>
      </c>
      <c r="B128" s="12" t="inlineStr">
        <is>
          <t>MFJ</t>
        </is>
      </c>
      <c r="C128" s="7">
        <f>A128&amp;"|"&amp;B128</f>
        <v/>
      </c>
      <c r="D128" s="14" t="n">
        <v>0.0535</v>
      </c>
      <c r="E128" s="13" t="n">
        <v>0</v>
      </c>
      <c r="F128" s="10">
        <f>H128</f>
        <v/>
      </c>
      <c r="G128" s="14" t="n">
        <v>0.068</v>
      </c>
      <c r="H128" s="13" t="n">
        <v>46330</v>
      </c>
      <c r="I128" s="10">
        <f>K128</f>
        <v/>
      </c>
      <c r="J128" s="14" t="n">
        <v>0.0785</v>
      </c>
      <c r="K128" s="13" t="n">
        <v>184040</v>
      </c>
      <c r="L128" s="10">
        <f>N128</f>
        <v/>
      </c>
      <c r="M128" s="14" t="n">
        <v>0.0985</v>
      </c>
      <c r="N128" s="13" t="n">
        <v>321450</v>
      </c>
      <c r="O128" s="10">
        <f>Q128</f>
        <v/>
      </c>
      <c r="P128" s="14" t="n">
        <v>0</v>
      </c>
      <c r="Q128" s="13" t="n">
        <v>999999999</v>
      </c>
      <c r="R128" s="10">
        <f>T128</f>
        <v/>
      </c>
      <c r="S128" s="14" t="n">
        <v>0</v>
      </c>
      <c r="T128" s="13" t="n">
        <v>999999999</v>
      </c>
      <c r="U128" s="10">
        <f>W128</f>
        <v/>
      </c>
      <c r="V128" s="14" t="n">
        <v>0</v>
      </c>
      <c r="W128" s="13" t="n">
        <v>999999999</v>
      </c>
      <c r="X128" s="10">
        <f>Z128</f>
        <v/>
      </c>
      <c r="Y128" s="14" t="n">
        <v>0</v>
      </c>
      <c r="Z128" s="13" t="n">
        <v>999999999</v>
      </c>
      <c r="AA128" s="10" t="n">
        <v>999999999</v>
      </c>
    </row>
    <row r="129">
      <c r="A129" s="12" t="inlineStr">
        <is>
          <t>HI</t>
        </is>
      </c>
      <c r="B129" s="12" t="inlineStr">
        <is>
          <t>Single</t>
        </is>
      </c>
      <c r="C129" s="7">
        <f>A129&amp;"|"&amp;B129</f>
        <v/>
      </c>
      <c r="D129" s="14" t="n">
        <v>0.014</v>
      </c>
      <c r="E129" s="13" t="n">
        <v>0</v>
      </c>
      <c r="F129" s="10">
        <f>H129</f>
        <v/>
      </c>
      <c r="G129" s="14" t="n">
        <v>0.04</v>
      </c>
      <c r="H129" s="13" t="n">
        <v>9600</v>
      </c>
      <c r="I129" s="10">
        <f>K129</f>
        <v/>
      </c>
      <c r="J129" s="14" t="n">
        <v>0.064</v>
      </c>
      <c r="K129" s="13" t="n">
        <v>24000</v>
      </c>
      <c r="L129" s="10">
        <f>N129</f>
        <v/>
      </c>
      <c r="M129" s="14" t="n">
        <v>0.076</v>
      </c>
      <c r="N129" s="13" t="n">
        <v>125000</v>
      </c>
      <c r="O129" s="10">
        <f>Q129</f>
        <v/>
      </c>
      <c r="P129" s="14" t="n">
        <v>0.08749999999999999</v>
      </c>
      <c r="Q129" s="13" t="n">
        <v>225000</v>
      </c>
      <c r="R129" s="10">
        <f>T129</f>
        <v/>
      </c>
      <c r="S129" s="14" t="n">
        <v>0.1</v>
      </c>
      <c r="T129" s="13" t="n">
        <v>350000</v>
      </c>
      <c r="U129" s="10">
        <f>W129</f>
        <v/>
      </c>
      <c r="V129" s="14" t="n">
        <v>0.11</v>
      </c>
      <c r="W129" s="13" t="n">
        <v>450000</v>
      </c>
      <c r="X129" s="10">
        <f>Z129</f>
        <v/>
      </c>
      <c r="Y129" s="14" t="n">
        <v>0</v>
      </c>
      <c r="Z129" s="13" t="n">
        <v>999999999</v>
      </c>
      <c r="AA129" s="10" t="n">
        <v>999999999</v>
      </c>
    </row>
    <row r="130">
      <c r="A130" s="12" t="inlineStr">
        <is>
          <t>HI</t>
        </is>
      </c>
      <c r="B130" s="12" t="inlineStr">
        <is>
          <t>MFJ</t>
        </is>
      </c>
      <c r="C130" s="7">
        <f>A130&amp;"|"&amp;B130</f>
        <v/>
      </c>
      <c r="D130" s="14" t="n">
        <v>0.014</v>
      </c>
      <c r="E130" s="13" t="n">
        <v>0</v>
      </c>
      <c r="F130" s="10">
        <f>H130</f>
        <v/>
      </c>
      <c r="G130" s="14" t="n">
        <v>0.04</v>
      </c>
      <c r="H130" s="13" t="n">
        <v>19200</v>
      </c>
      <c r="I130" s="10">
        <f>K130</f>
        <v/>
      </c>
      <c r="J130" s="14" t="n">
        <v>0.064</v>
      </c>
      <c r="K130" s="13" t="n">
        <v>48000</v>
      </c>
      <c r="L130" s="10">
        <f>N130</f>
        <v/>
      </c>
      <c r="M130" s="14" t="n">
        <v>0.076</v>
      </c>
      <c r="N130" s="13" t="n">
        <v>250000</v>
      </c>
      <c r="O130" s="10">
        <f>Q130</f>
        <v/>
      </c>
      <c r="P130" s="14" t="n">
        <v>0.08749999999999999</v>
      </c>
      <c r="Q130" s="13" t="n">
        <v>450000</v>
      </c>
      <c r="R130" s="10">
        <f>T130</f>
        <v/>
      </c>
      <c r="S130" s="14" t="n">
        <v>0.1</v>
      </c>
      <c r="T130" s="13" t="n">
        <v>700000</v>
      </c>
      <c r="U130" s="10">
        <f>W130</f>
        <v/>
      </c>
      <c r="V130" s="14" t="n">
        <v>0.11</v>
      </c>
      <c r="W130" s="13" t="n">
        <v>900000</v>
      </c>
      <c r="X130" s="10">
        <f>Z130</f>
        <v/>
      </c>
      <c r="Y130" s="14" t="n">
        <v>0</v>
      </c>
      <c r="Z130" s="13" t="n">
        <v>999999999</v>
      </c>
      <c r="AA130" s="10" t="n">
        <v>999999999</v>
      </c>
    </row>
    <row r="131">
      <c r="A131" s="12" t="inlineStr">
        <is>
          <t>VA</t>
        </is>
      </c>
      <c r="B131" s="12" t="inlineStr">
        <is>
          <t>Single</t>
        </is>
      </c>
      <c r="C131" s="7">
        <f>A131&amp;"|"&amp;B131</f>
        <v/>
      </c>
      <c r="D131" s="14" t="n">
        <v>0.02</v>
      </c>
      <c r="E131" s="13" t="n">
        <v>0</v>
      </c>
      <c r="F131" s="10">
        <f>H131</f>
        <v/>
      </c>
      <c r="G131" s="14" t="n">
        <v>0.03</v>
      </c>
      <c r="H131" s="13" t="n">
        <v>3000</v>
      </c>
      <c r="I131" s="10">
        <f>K131</f>
        <v/>
      </c>
      <c r="J131" s="14" t="n">
        <v>0.05</v>
      </c>
      <c r="K131" s="13" t="n">
        <v>5000</v>
      </c>
      <c r="L131" s="10">
        <f>N131</f>
        <v/>
      </c>
      <c r="M131" s="14" t="n">
        <v>0.0575</v>
      </c>
      <c r="N131" s="13" t="n">
        <v>17000</v>
      </c>
      <c r="O131" s="10">
        <f>Q131</f>
        <v/>
      </c>
      <c r="P131" s="14" t="n">
        <v>0</v>
      </c>
      <c r="Q131" s="13" t="n">
        <v>999999999</v>
      </c>
      <c r="R131" s="10">
        <f>T131</f>
        <v/>
      </c>
      <c r="S131" s="14" t="n">
        <v>0</v>
      </c>
      <c r="T131" s="13" t="n">
        <v>999999999</v>
      </c>
      <c r="U131" s="10">
        <f>W131</f>
        <v/>
      </c>
      <c r="V131" s="14" t="n">
        <v>0</v>
      </c>
      <c r="W131" s="13" t="n">
        <v>999999999</v>
      </c>
      <c r="X131" s="10">
        <f>Z131</f>
        <v/>
      </c>
      <c r="Y131" s="14" t="n">
        <v>0</v>
      </c>
      <c r="Z131" s="13" t="n">
        <v>999999999</v>
      </c>
      <c r="AA131" s="10" t="n">
        <v>999999999</v>
      </c>
    </row>
    <row r="132">
      <c r="A132" s="12" t="inlineStr">
        <is>
          <t>VA</t>
        </is>
      </c>
      <c r="B132" s="12" t="inlineStr">
        <is>
          <t>MFJ</t>
        </is>
      </c>
      <c r="C132" s="7">
        <f>A132&amp;"|"&amp;B132</f>
        <v/>
      </c>
      <c r="D132" s="14" t="n">
        <v>0.02</v>
      </c>
      <c r="E132" s="13" t="n">
        <v>0</v>
      </c>
      <c r="F132" s="10">
        <f>H132</f>
        <v/>
      </c>
      <c r="G132" s="14" t="n">
        <v>0.03</v>
      </c>
      <c r="H132" s="13" t="n">
        <v>3000</v>
      </c>
      <c r="I132" s="10">
        <f>K132</f>
        <v/>
      </c>
      <c r="J132" s="14" t="n">
        <v>0.05</v>
      </c>
      <c r="K132" s="13" t="n">
        <v>5000</v>
      </c>
      <c r="L132" s="10">
        <f>N132</f>
        <v/>
      </c>
      <c r="M132" s="14" t="n">
        <v>0.0575</v>
      </c>
      <c r="N132" s="13" t="n">
        <v>17000</v>
      </c>
      <c r="O132" s="10">
        <f>Q132</f>
        <v/>
      </c>
      <c r="P132" s="14" t="n">
        <v>0</v>
      </c>
      <c r="Q132" s="13" t="n">
        <v>999999999</v>
      </c>
      <c r="R132" s="10">
        <f>T132</f>
        <v/>
      </c>
      <c r="S132" s="14" t="n">
        <v>0</v>
      </c>
      <c r="T132" s="13" t="n">
        <v>999999999</v>
      </c>
      <c r="U132" s="10">
        <f>W132</f>
        <v/>
      </c>
      <c r="V132" s="14" t="n">
        <v>0</v>
      </c>
      <c r="W132" s="13" t="n">
        <v>999999999</v>
      </c>
      <c r="X132" s="10">
        <f>Z132</f>
        <v/>
      </c>
      <c r="Y132" s="14" t="n">
        <v>0</v>
      </c>
      <c r="Z132" s="13" t="n">
        <v>999999999</v>
      </c>
      <c r="AA132" s="10" t="n">
        <v>999999999</v>
      </c>
    </row>
    <row r="133">
      <c r="A133" s="12" t="inlineStr">
        <is>
          <t>SC</t>
        </is>
      </c>
      <c r="B133" s="12" t="inlineStr">
        <is>
          <t>Single</t>
        </is>
      </c>
      <c r="C133" s="7">
        <f>A133&amp;"|"&amp;B133</f>
        <v/>
      </c>
      <c r="D133" s="14" t="n">
        <v>0</v>
      </c>
      <c r="E133" s="13" t="n">
        <v>0</v>
      </c>
      <c r="F133" s="10">
        <f>H133</f>
        <v/>
      </c>
      <c r="G133" s="14" t="n">
        <v>0.03</v>
      </c>
      <c r="H133" s="13" t="n">
        <v>3200</v>
      </c>
      <c r="I133" s="10">
        <f>K133</f>
        <v/>
      </c>
      <c r="J133" s="14" t="n">
        <v>0.062</v>
      </c>
      <c r="K133" s="13" t="n">
        <v>16040</v>
      </c>
      <c r="L133" s="10">
        <f>N133</f>
        <v/>
      </c>
      <c r="M133" s="14" t="n">
        <v>0</v>
      </c>
      <c r="N133" s="13" t="n">
        <v>999999999</v>
      </c>
      <c r="O133" s="10">
        <f>Q133</f>
        <v/>
      </c>
      <c r="P133" s="14" t="n">
        <v>0</v>
      </c>
      <c r="Q133" s="13" t="n">
        <v>999999999</v>
      </c>
      <c r="R133" s="10">
        <f>T133</f>
        <v/>
      </c>
      <c r="S133" s="14" t="n">
        <v>0</v>
      </c>
      <c r="T133" s="13" t="n">
        <v>999999999</v>
      </c>
      <c r="U133" s="10">
        <f>W133</f>
        <v/>
      </c>
      <c r="V133" s="14" t="n">
        <v>0</v>
      </c>
      <c r="W133" s="13" t="n">
        <v>999999999</v>
      </c>
      <c r="X133" s="10">
        <f>Z133</f>
        <v/>
      </c>
      <c r="Y133" s="14" t="n">
        <v>0</v>
      </c>
      <c r="Z133" s="13" t="n">
        <v>999999999</v>
      </c>
      <c r="AA133" s="10" t="n">
        <v>999999999</v>
      </c>
    </row>
    <row r="134">
      <c r="A134" s="12" t="inlineStr">
        <is>
          <t>SC</t>
        </is>
      </c>
      <c r="B134" s="12" t="inlineStr">
        <is>
          <t>MFJ</t>
        </is>
      </c>
      <c r="C134" s="7">
        <f>A134&amp;"|"&amp;B134</f>
        <v/>
      </c>
      <c r="D134" s="14" t="n">
        <v>0</v>
      </c>
      <c r="E134" s="13" t="n">
        <v>0</v>
      </c>
      <c r="F134" s="10">
        <f>H134</f>
        <v/>
      </c>
      <c r="G134" s="14" t="n">
        <v>0.03</v>
      </c>
      <c r="H134" s="13" t="n">
        <v>3200</v>
      </c>
      <c r="I134" s="10">
        <f>K134</f>
        <v/>
      </c>
      <c r="J134" s="14" t="n">
        <v>0.062</v>
      </c>
      <c r="K134" s="13" t="n">
        <v>16040</v>
      </c>
      <c r="L134" s="10">
        <f>N134</f>
        <v/>
      </c>
      <c r="M134" s="14" t="n">
        <v>0</v>
      </c>
      <c r="N134" s="13" t="n">
        <v>999999999</v>
      </c>
      <c r="O134" s="10">
        <f>Q134</f>
        <v/>
      </c>
      <c r="P134" s="14" t="n">
        <v>0</v>
      </c>
      <c r="Q134" s="13" t="n">
        <v>999999999</v>
      </c>
      <c r="R134" s="10">
        <f>T134</f>
        <v/>
      </c>
      <c r="S134" s="14" t="n">
        <v>0</v>
      </c>
      <c r="T134" s="13" t="n">
        <v>999999999</v>
      </c>
      <c r="U134" s="10">
        <f>W134</f>
        <v/>
      </c>
      <c r="V134" s="14" t="n">
        <v>0</v>
      </c>
      <c r="W134" s="13" t="n">
        <v>999999999</v>
      </c>
      <c r="X134" s="10">
        <f>Z134</f>
        <v/>
      </c>
      <c r="Y134" s="14" t="n">
        <v>0</v>
      </c>
      <c r="Z134" s="13" t="n">
        <v>999999999</v>
      </c>
      <c r="AA134" s="10" t="n">
        <v>999999999</v>
      </c>
    </row>
    <row r="135">
      <c r="A135" s="12" t="inlineStr">
        <is>
          <t>MD</t>
        </is>
      </c>
      <c r="B135" s="12" t="inlineStr">
        <is>
          <t>Single</t>
        </is>
      </c>
      <c r="C135" s="7">
        <f>A135&amp;"|"&amp;B135</f>
        <v/>
      </c>
      <c r="D135" s="14" t="n">
        <v>0.02</v>
      </c>
      <c r="E135" s="13" t="n">
        <v>0</v>
      </c>
      <c r="F135" s="10">
        <f>H135</f>
        <v/>
      </c>
      <c r="G135" s="14" t="n">
        <v>0.03</v>
      </c>
      <c r="H135" s="13" t="n">
        <v>1000</v>
      </c>
      <c r="I135" s="10">
        <f>K135</f>
        <v/>
      </c>
      <c r="J135" s="14" t="n">
        <v>0.04</v>
      </c>
      <c r="K135" s="13" t="n">
        <v>2000</v>
      </c>
      <c r="L135" s="10">
        <f>N135</f>
        <v/>
      </c>
      <c r="M135" s="14" t="n">
        <v>0.0475</v>
      </c>
      <c r="N135" s="13" t="n">
        <v>3000</v>
      </c>
      <c r="O135" s="10">
        <f>Q135</f>
        <v/>
      </c>
      <c r="P135" s="14" t="n">
        <v>0.05</v>
      </c>
      <c r="Q135" s="13" t="n">
        <v>100000</v>
      </c>
      <c r="R135" s="10">
        <f>T135</f>
        <v/>
      </c>
      <c r="S135" s="14" t="n">
        <v>0.0525</v>
      </c>
      <c r="T135" s="13" t="n">
        <v>125000</v>
      </c>
      <c r="U135" s="10">
        <f>W135</f>
        <v/>
      </c>
      <c r="V135" s="14" t="n">
        <v>0.055</v>
      </c>
      <c r="W135" s="13" t="n">
        <v>150000</v>
      </c>
      <c r="X135" s="10">
        <f>Z135</f>
        <v/>
      </c>
      <c r="Y135" s="14" t="n">
        <v>0.0575</v>
      </c>
      <c r="Z135" s="13" t="n">
        <v>250000</v>
      </c>
      <c r="AA135" s="10" t="n">
        <v>999999999</v>
      </c>
    </row>
    <row r="136">
      <c r="A136" s="12" t="inlineStr">
        <is>
          <t>MD</t>
        </is>
      </c>
      <c r="B136" s="12" t="inlineStr">
        <is>
          <t>MFJ</t>
        </is>
      </c>
      <c r="C136" s="7">
        <f>A136&amp;"|"&amp;B136</f>
        <v/>
      </c>
      <c r="D136" s="14" t="n">
        <v>0.02</v>
      </c>
      <c r="E136" s="13" t="n">
        <v>0</v>
      </c>
      <c r="F136" s="10">
        <f>H136</f>
        <v/>
      </c>
      <c r="G136" s="14" t="n">
        <v>0.03</v>
      </c>
      <c r="H136" s="13" t="n">
        <v>1000</v>
      </c>
      <c r="I136" s="10">
        <f>K136</f>
        <v/>
      </c>
      <c r="J136" s="14" t="n">
        <v>0.04</v>
      </c>
      <c r="K136" s="13" t="n">
        <v>2000</v>
      </c>
      <c r="L136" s="10">
        <f>N136</f>
        <v/>
      </c>
      <c r="M136" s="14" t="n">
        <v>0.0475</v>
      </c>
      <c r="N136" s="13" t="n">
        <v>3000</v>
      </c>
      <c r="O136" s="10">
        <f>Q136</f>
        <v/>
      </c>
      <c r="P136" s="14" t="n">
        <v>0.05</v>
      </c>
      <c r="Q136" s="13" t="n">
        <v>150000</v>
      </c>
      <c r="R136" s="10">
        <f>T136</f>
        <v/>
      </c>
      <c r="S136" s="14" t="n">
        <v>0.0525</v>
      </c>
      <c r="T136" s="13" t="n">
        <v>175000</v>
      </c>
      <c r="U136" s="10">
        <f>W136</f>
        <v/>
      </c>
      <c r="V136" s="14" t="n">
        <v>0.055</v>
      </c>
      <c r="W136" s="13" t="n">
        <v>225000</v>
      </c>
      <c r="X136" s="10">
        <f>Z136</f>
        <v/>
      </c>
      <c r="Y136" s="14" t="n">
        <v>0.0575</v>
      </c>
      <c r="Z136" s="13" t="n">
        <v>300000</v>
      </c>
      <c r="AA136" s="10" t="n">
        <v>999999999</v>
      </c>
    </row>
    <row r="137">
      <c r="A137" s="12" t="inlineStr">
        <is>
          <t>WI</t>
        </is>
      </c>
      <c r="B137" s="12" t="inlineStr">
        <is>
          <t>Single</t>
        </is>
      </c>
      <c r="C137" s="7">
        <f>A137&amp;"|"&amp;B137</f>
        <v/>
      </c>
      <c r="D137" s="14" t="n">
        <v>0.035</v>
      </c>
      <c r="E137" s="13" t="n">
        <v>0</v>
      </c>
      <c r="F137" s="10">
        <f>H137</f>
        <v/>
      </c>
      <c r="G137" s="14" t="n">
        <v>0.044</v>
      </c>
      <c r="H137" s="13" t="n">
        <v>14320</v>
      </c>
      <c r="I137" s="10">
        <f>K137</f>
        <v/>
      </c>
      <c r="J137" s="14" t="n">
        <v>0.053</v>
      </c>
      <c r="K137" s="13" t="n">
        <v>28640</v>
      </c>
      <c r="L137" s="10">
        <f>N137</f>
        <v/>
      </c>
      <c r="M137" s="14" t="n">
        <v>0.0765</v>
      </c>
      <c r="N137" s="13" t="n">
        <v>315310</v>
      </c>
      <c r="O137" s="10">
        <f>Q137</f>
        <v/>
      </c>
      <c r="P137" s="14" t="n">
        <v>0</v>
      </c>
      <c r="Q137" s="13" t="n">
        <v>999999999</v>
      </c>
      <c r="R137" s="10">
        <f>T137</f>
        <v/>
      </c>
      <c r="S137" s="14" t="n">
        <v>0</v>
      </c>
      <c r="T137" s="13" t="n">
        <v>999999999</v>
      </c>
      <c r="U137" s="10">
        <f>W137</f>
        <v/>
      </c>
      <c r="V137" s="14" t="n">
        <v>0</v>
      </c>
      <c r="W137" s="13" t="n">
        <v>999999999</v>
      </c>
      <c r="X137" s="10">
        <f>Z137</f>
        <v/>
      </c>
      <c r="Y137" s="14" t="n">
        <v>0</v>
      </c>
      <c r="Z137" s="13" t="n">
        <v>999999999</v>
      </c>
      <c r="AA137" s="10" t="n">
        <v>999999999</v>
      </c>
    </row>
    <row r="138">
      <c r="A138" s="12" t="inlineStr">
        <is>
          <t>WI</t>
        </is>
      </c>
      <c r="B138" s="12" t="inlineStr">
        <is>
          <t>MFJ</t>
        </is>
      </c>
      <c r="C138" s="7">
        <f>A138&amp;"|"&amp;B138</f>
        <v/>
      </c>
      <c r="D138" s="14" t="n">
        <v>0.035</v>
      </c>
      <c r="E138" s="13" t="n">
        <v>0</v>
      </c>
      <c r="F138" s="10">
        <f>H138</f>
        <v/>
      </c>
      <c r="G138" s="14" t="n">
        <v>0.044</v>
      </c>
      <c r="H138" s="13" t="n">
        <v>19090</v>
      </c>
      <c r="I138" s="10">
        <f>K138</f>
        <v/>
      </c>
      <c r="J138" s="14" t="n">
        <v>0.053</v>
      </c>
      <c r="K138" s="13" t="n">
        <v>38190</v>
      </c>
      <c r="L138" s="10">
        <f>N138</f>
        <v/>
      </c>
      <c r="M138" s="14" t="n">
        <v>0.0765</v>
      </c>
      <c r="N138" s="13" t="n">
        <v>420420</v>
      </c>
      <c r="O138" s="10">
        <f>Q138</f>
        <v/>
      </c>
      <c r="P138" s="14" t="n">
        <v>0</v>
      </c>
      <c r="Q138" s="13" t="n">
        <v>999999999</v>
      </c>
      <c r="R138" s="10">
        <f>T138</f>
        <v/>
      </c>
      <c r="S138" s="14" t="n">
        <v>0</v>
      </c>
      <c r="T138" s="13" t="n">
        <v>999999999</v>
      </c>
      <c r="U138" s="10">
        <f>W138</f>
        <v/>
      </c>
      <c r="V138" s="14" t="n">
        <v>0</v>
      </c>
      <c r="W138" s="13" t="n">
        <v>999999999</v>
      </c>
      <c r="X138" s="10">
        <f>Z138</f>
        <v/>
      </c>
      <c r="Y138" s="14" t="n">
        <v>0</v>
      </c>
      <c r="Z138" s="13" t="n">
        <v>999999999</v>
      </c>
      <c r="AA138" s="10" t="n">
        <v>999999999</v>
      </c>
    </row>
    <row r="139">
      <c r="A139" s="12" t="inlineStr">
        <is>
          <t>OH</t>
        </is>
      </c>
      <c r="B139" s="12" t="inlineStr">
        <is>
          <t>Single</t>
        </is>
      </c>
      <c r="C139" s="7">
        <f>A139&amp;"|"&amp;B139</f>
        <v/>
      </c>
      <c r="D139" s="14" t="n">
        <v>0</v>
      </c>
      <c r="E139" s="13" t="n">
        <v>0</v>
      </c>
      <c r="F139" s="10">
        <f>H139</f>
        <v/>
      </c>
      <c r="G139" s="14" t="n">
        <v>0.0275</v>
      </c>
      <c r="H139" s="13" t="n">
        <v>26050</v>
      </c>
      <c r="I139" s="10">
        <f>K139</f>
        <v/>
      </c>
      <c r="J139" s="14" t="n">
        <v>0.035</v>
      </c>
      <c r="K139" s="13" t="n">
        <v>100000</v>
      </c>
      <c r="L139" s="10">
        <f>N139</f>
        <v/>
      </c>
      <c r="M139" s="14" t="n">
        <v>0</v>
      </c>
      <c r="N139" s="13" t="n">
        <v>999999999</v>
      </c>
      <c r="O139" s="10">
        <f>Q139</f>
        <v/>
      </c>
      <c r="P139" s="14" t="n">
        <v>0</v>
      </c>
      <c r="Q139" s="13" t="n">
        <v>999999999</v>
      </c>
      <c r="R139" s="10">
        <f>T139</f>
        <v/>
      </c>
      <c r="S139" s="14" t="n">
        <v>0</v>
      </c>
      <c r="T139" s="13" t="n">
        <v>999999999</v>
      </c>
      <c r="U139" s="10">
        <f>W139</f>
        <v/>
      </c>
      <c r="V139" s="14" t="n">
        <v>0</v>
      </c>
      <c r="W139" s="13" t="n">
        <v>999999999</v>
      </c>
      <c r="X139" s="10">
        <f>Z139</f>
        <v/>
      </c>
      <c r="Y139" s="14" t="n">
        <v>0</v>
      </c>
      <c r="Z139" s="13" t="n">
        <v>999999999</v>
      </c>
      <c r="AA139" s="10" t="n">
        <v>999999999</v>
      </c>
    </row>
    <row r="140">
      <c r="A140" s="12" t="inlineStr">
        <is>
          <t>OH</t>
        </is>
      </c>
      <c r="B140" s="12" t="inlineStr">
        <is>
          <t>MFJ</t>
        </is>
      </c>
      <c r="C140" s="7">
        <f>A140&amp;"|"&amp;B140</f>
        <v/>
      </c>
      <c r="D140" s="14" t="n">
        <v>0</v>
      </c>
      <c r="E140" s="13" t="n">
        <v>0</v>
      </c>
      <c r="F140" s="10">
        <f>H140</f>
        <v/>
      </c>
      <c r="G140" s="14" t="n">
        <v>0.0275</v>
      </c>
      <c r="H140" s="13" t="n">
        <v>26050</v>
      </c>
      <c r="I140" s="10">
        <f>K140</f>
        <v/>
      </c>
      <c r="J140" s="14" t="n">
        <v>0.035</v>
      </c>
      <c r="K140" s="13" t="n">
        <v>100000</v>
      </c>
      <c r="L140" s="10">
        <f>N140</f>
        <v/>
      </c>
      <c r="M140" s="14" t="n">
        <v>0</v>
      </c>
      <c r="N140" s="13" t="n">
        <v>999999999</v>
      </c>
      <c r="O140" s="10">
        <f>Q140</f>
        <v/>
      </c>
      <c r="P140" s="14" t="n">
        <v>0</v>
      </c>
      <c r="Q140" s="13" t="n">
        <v>999999999</v>
      </c>
      <c r="R140" s="10">
        <f>T140</f>
        <v/>
      </c>
      <c r="S140" s="14" t="n">
        <v>0</v>
      </c>
      <c r="T140" s="13" t="n">
        <v>999999999</v>
      </c>
      <c r="U140" s="10">
        <f>W140</f>
        <v/>
      </c>
      <c r="V140" s="14" t="n">
        <v>0</v>
      </c>
      <c r="W140" s="13" t="n">
        <v>999999999</v>
      </c>
      <c r="X140" s="10">
        <f>Z140</f>
        <v/>
      </c>
      <c r="Y140" s="14" t="n">
        <v>0</v>
      </c>
      <c r="Z140" s="13" t="n">
        <v>999999999</v>
      </c>
      <c r="AA140" s="10" t="n">
        <v>999999999</v>
      </c>
    </row>
    <row r="141">
      <c r="A141" s="12" t="inlineStr">
        <is>
          <t>DC</t>
        </is>
      </c>
      <c r="B141" s="12" t="inlineStr">
        <is>
          <t>Single</t>
        </is>
      </c>
      <c r="C141" s="7">
        <f>A141&amp;"|"&amp;B141</f>
        <v/>
      </c>
      <c r="D141" s="14" t="n">
        <v>0.04</v>
      </c>
      <c r="E141" s="13" t="n">
        <v>0</v>
      </c>
      <c r="F141" s="10">
        <f>H141</f>
        <v/>
      </c>
      <c r="G141" s="14" t="n">
        <v>0.06</v>
      </c>
      <c r="H141" s="13" t="n">
        <v>10000</v>
      </c>
      <c r="I141" s="10">
        <f>K141</f>
        <v/>
      </c>
      <c r="J141" s="14" t="n">
        <v>0.065</v>
      </c>
      <c r="K141" s="13" t="n">
        <v>40000</v>
      </c>
      <c r="L141" s="10">
        <f>N141</f>
        <v/>
      </c>
      <c r="M141" s="14" t="n">
        <v>0.08500000000000001</v>
      </c>
      <c r="N141" s="13" t="n">
        <v>60000</v>
      </c>
      <c r="O141" s="10">
        <f>Q141</f>
        <v/>
      </c>
      <c r="P141" s="14" t="n">
        <v>0.0925</v>
      </c>
      <c r="Q141" s="13" t="n">
        <v>250000</v>
      </c>
      <c r="R141" s="10">
        <f>T141</f>
        <v/>
      </c>
      <c r="S141" s="14" t="n">
        <v>0.0975</v>
      </c>
      <c r="T141" s="13" t="n">
        <v>500000</v>
      </c>
      <c r="U141" s="10">
        <f>W141</f>
        <v/>
      </c>
      <c r="V141" s="14" t="n">
        <v>0</v>
      </c>
      <c r="W141" s="13" t="n">
        <v>999999999</v>
      </c>
      <c r="X141" s="10">
        <f>Z141</f>
        <v/>
      </c>
      <c r="Y141" s="14" t="n">
        <v>0</v>
      </c>
      <c r="Z141" s="13" t="n">
        <v>999999999</v>
      </c>
      <c r="AA141" s="10" t="n">
        <v>999999999</v>
      </c>
    </row>
    <row r="142">
      <c r="A142" s="12" t="inlineStr">
        <is>
          <t>DC</t>
        </is>
      </c>
      <c r="B142" s="12" t="inlineStr">
        <is>
          <t>MFJ</t>
        </is>
      </c>
      <c r="C142" s="7">
        <f>A142&amp;"|"&amp;B142</f>
        <v/>
      </c>
      <c r="D142" s="14" t="n">
        <v>0.04</v>
      </c>
      <c r="E142" s="13" t="n">
        <v>0</v>
      </c>
      <c r="F142" s="10">
        <f>H142</f>
        <v/>
      </c>
      <c r="G142" s="14" t="n">
        <v>0.06</v>
      </c>
      <c r="H142" s="13" t="n">
        <v>10000</v>
      </c>
      <c r="I142" s="10">
        <f>K142</f>
        <v/>
      </c>
      <c r="J142" s="14" t="n">
        <v>0.065</v>
      </c>
      <c r="K142" s="13" t="n">
        <v>40000</v>
      </c>
      <c r="L142" s="10">
        <f>N142</f>
        <v/>
      </c>
      <c r="M142" s="14" t="n">
        <v>0.08500000000000001</v>
      </c>
      <c r="N142" s="13" t="n">
        <v>60000</v>
      </c>
      <c r="O142" s="10">
        <f>Q142</f>
        <v/>
      </c>
      <c r="P142" s="14" t="n">
        <v>0.0925</v>
      </c>
      <c r="Q142" s="13" t="n">
        <v>250000</v>
      </c>
      <c r="R142" s="10">
        <f>T142</f>
        <v/>
      </c>
      <c r="S142" s="14" t="n">
        <v>0.0975</v>
      </c>
      <c r="T142" s="13" t="n">
        <v>500000</v>
      </c>
      <c r="U142" s="10">
        <f>W142</f>
        <v/>
      </c>
      <c r="V142" s="14" t="n">
        <v>0</v>
      </c>
      <c r="W142" s="13" t="n">
        <v>999999999</v>
      </c>
      <c r="X142" s="10">
        <f>Z142</f>
        <v/>
      </c>
      <c r="Y142" s="14" t="n">
        <v>0</v>
      </c>
      <c r="Z142" s="13" t="n">
        <v>999999999</v>
      </c>
      <c r="AA142" s="10" t="n">
        <v>999999999</v>
      </c>
    </row>
    <row r="143">
      <c r="A143" s="12" t="inlineStr">
        <is>
          <t>OTHER</t>
        </is>
      </c>
      <c r="B143" s="12" t="inlineStr">
        <is>
          <t>Single</t>
        </is>
      </c>
      <c r="C143" s="7">
        <f>A143&amp;"|"&amp;B143</f>
        <v/>
      </c>
      <c r="D143" s="14" t="n">
        <v>0</v>
      </c>
      <c r="E143" s="13" t="n">
        <v>0</v>
      </c>
      <c r="F143" s="10">
        <f>H143</f>
        <v/>
      </c>
      <c r="G143" s="14" t="n">
        <v>0</v>
      </c>
      <c r="H143" s="13" t="n">
        <v>999999999</v>
      </c>
      <c r="I143" s="10">
        <f>K143</f>
        <v/>
      </c>
      <c r="J143" s="14" t="n">
        <v>0</v>
      </c>
      <c r="K143" s="13" t="n">
        <v>999999999</v>
      </c>
      <c r="L143" s="10">
        <f>N143</f>
        <v/>
      </c>
      <c r="M143" s="14" t="n">
        <v>0</v>
      </c>
      <c r="N143" s="13" t="n">
        <v>999999999</v>
      </c>
      <c r="O143" s="10">
        <f>Q143</f>
        <v/>
      </c>
      <c r="P143" s="14" t="n">
        <v>0</v>
      </c>
      <c r="Q143" s="13" t="n">
        <v>999999999</v>
      </c>
      <c r="R143" s="10">
        <f>T143</f>
        <v/>
      </c>
      <c r="S143" s="14" t="n">
        <v>0</v>
      </c>
      <c r="T143" s="13" t="n">
        <v>999999999</v>
      </c>
      <c r="U143" s="10">
        <f>W143</f>
        <v/>
      </c>
      <c r="V143" s="14" t="n">
        <v>0</v>
      </c>
      <c r="W143" s="13" t="n">
        <v>999999999</v>
      </c>
      <c r="X143" s="10">
        <f>Z143</f>
        <v/>
      </c>
      <c r="Y143" s="14" t="n">
        <v>0</v>
      </c>
      <c r="Z143" s="13" t="n">
        <v>999999999</v>
      </c>
      <c r="AA143" s="10" t="n">
        <v>999999999</v>
      </c>
    </row>
    <row r="144">
      <c r="A144" s="12" t="inlineStr">
        <is>
          <t>OTHER</t>
        </is>
      </c>
      <c r="B144" s="12" t="inlineStr">
        <is>
          <t>MFJ</t>
        </is>
      </c>
      <c r="C144" s="7">
        <f>A144&amp;"|"&amp;B144</f>
        <v/>
      </c>
      <c r="D144" s="14" t="n">
        <v>0</v>
      </c>
      <c r="E144" s="13" t="n">
        <v>0</v>
      </c>
      <c r="F144" s="10">
        <f>H144</f>
        <v/>
      </c>
      <c r="G144" s="14" t="n">
        <v>0</v>
      </c>
      <c r="H144" s="13" t="n">
        <v>999999999</v>
      </c>
      <c r="I144" s="10">
        <f>K144</f>
        <v/>
      </c>
      <c r="J144" s="14" t="n">
        <v>0</v>
      </c>
      <c r="K144" s="13" t="n">
        <v>999999999</v>
      </c>
      <c r="L144" s="10">
        <f>N144</f>
        <v/>
      </c>
      <c r="M144" s="14" t="n">
        <v>0</v>
      </c>
      <c r="N144" s="13" t="n">
        <v>999999999</v>
      </c>
      <c r="O144" s="10">
        <f>Q144</f>
        <v/>
      </c>
      <c r="P144" s="14" t="n">
        <v>0</v>
      </c>
      <c r="Q144" s="13" t="n">
        <v>999999999</v>
      </c>
      <c r="R144" s="10">
        <f>T144</f>
        <v/>
      </c>
      <c r="S144" s="14" t="n">
        <v>0</v>
      </c>
      <c r="T144" s="13" t="n">
        <v>999999999</v>
      </c>
      <c r="U144" s="10">
        <f>W144</f>
        <v/>
      </c>
      <c r="V144" s="14" t="n">
        <v>0</v>
      </c>
      <c r="W144" s="13" t="n">
        <v>999999999</v>
      </c>
      <c r="X144" s="10">
        <f>Z144</f>
        <v/>
      </c>
      <c r="Y144" s="14" t="n">
        <v>0</v>
      </c>
      <c r="Z144" s="13" t="n">
        <v>999999999</v>
      </c>
      <c r="AA144" s="10" t="n">
        <v>999999999</v>
      </c>
    </row>
    <row r="146" ht="18" customHeight="1">
      <c r="A146" s="3" t="inlineStr">
        <is>
          <t>Local / Municipal Tax Table</t>
        </is>
      </c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</row>
    <row r="147">
      <c r="A147" s="5" t="inlineStr">
        <is>
          <t>Locality Code</t>
        </is>
      </c>
      <c r="B147" s="5" t="inlineStr">
        <is>
          <t>Locality Name</t>
        </is>
      </c>
      <c r="C147" s="5" t="inlineStr">
        <is>
          <t>State</t>
        </is>
      </c>
      <c r="D147" s="5" t="inlineStr">
        <is>
          <t>Rate</t>
        </is>
      </c>
      <c r="E147" s="5" t="inlineStr">
        <is>
          <t>Notes</t>
        </is>
      </c>
    </row>
    <row r="148">
      <c r="A148" s="12" t="inlineStr">
        <is>
          <t>NYC</t>
        </is>
      </c>
      <c r="B148" s="12" t="inlineStr">
        <is>
          <t>New York City</t>
        </is>
      </c>
      <c r="C148" s="12" t="inlineStr">
        <is>
          <t>NY</t>
        </is>
      </c>
      <c r="D148" s="14" t="n">
        <v>0.03648</v>
      </c>
      <c r="E148" s="15" t="inlineStr">
        <is>
          <t>Approximate blended NYC resident rate.</t>
        </is>
      </c>
    </row>
    <row r="149">
      <c r="A149" s="12" t="inlineStr">
        <is>
          <t>YONK</t>
        </is>
      </c>
      <c r="B149" s="12" t="inlineStr">
        <is>
          <t>Yonkers (NY)</t>
        </is>
      </c>
      <c r="C149" s="12" t="inlineStr">
        <is>
          <t>NY</t>
        </is>
      </c>
      <c r="D149" s="14" t="n">
        <v>0.1675</v>
      </c>
      <c r="E149" s="15" t="inlineStr">
        <is>
          <t>Resident surcharge as % of NY State tax.</t>
        </is>
      </c>
    </row>
    <row r="150">
      <c r="A150" s="12" t="inlineStr">
        <is>
          <t>PHIL</t>
        </is>
      </c>
      <c r="B150" s="12" t="inlineStr">
        <is>
          <t>Philadelphia, PA</t>
        </is>
      </c>
      <c r="C150" s="12" t="inlineStr">
        <is>
          <t>PA</t>
        </is>
      </c>
      <c r="D150" s="14" t="n">
        <v>0.0375</v>
      </c>
      <c r="E150" s="15" t="inlineStr">
        <is>
          <t>Philadelphia wage tax (resident).</t>
        </is>
      </c>
    </row>
    <row r="151">
      <c r="A151" s="12" t="inlineStr">
        <is>
          <t>PIT</t>
        </is>
      </c>
      <c r="B151" s="12" t="inlineStr">
        <is>
          <t>Pittsburgh, PA</t>
        </is>
      </c>
      <c r="C151" s="12" t="inlineStr">
        <is>
          <t>PA</t>
        </is>
      </c>
      <c r="D151" s="14" t="n">
        <v>0.03</v>
      </c>
      <c r="E151" s="15" t="inlineStr">
        <is>
          <t>Local earned income tax (approx.).</t>
        </is>
      </c>
    </row>
    <row r="152">
      <c r="A152" s="12" t="inlineStr">
        <is>
          <t>DET</t>
        </is>
      </c>
      <c r="B152" s="12" t="inlineStr">
        <is>
          <t>Detroit, MI</t>
        </is>
      </c>
      <c r="C152" s="12" t="inlineStr">
        <is>
          <t>MI</t>
        </is>
      </c>
      <c r="D152" s="14" t="n">
        <v>0.024</v>
      </c>
      <c r="E152" s="15" t="inlineStr">
        <is>
          <t>Detroit resident income tax.</t>
        </is>
      </c>
    </row>
    <row r="153">
      <c r="A153" s="12" t="inlineStr">
        <is>
          <t>COL</t>
        </is>
      </c>
      <c r="B153" s="12" t="inlineStr">
        <is>
          <t>Columbus, OH</t>
        </is>
      </c>
      <c r="C153" s="12" t="inlineStr">
        <is>
          <t>OH</t>
        </is>
      </c>
      <c r="D153" s="14" t="n">
        <v>0.025</v>
      </c>
      <c r="E153" s="15" t="inlineStr">
        <is>
          <t>Ohio municipal income tax (approx.).</t>
        </is>
      </c>
    </row>
    <row r="154">
      <c r="A154" s="12" t="inlineStr">
        <is>
          <t>CIN</t>
        </is>
      </c>
      <c r="B154" s="12" t="inlineStr">
        <is>
          <t>Cincinnati, OH</t>
        </is>
      </c>
      <c r="C154" s="12" t="inlineStr">
        <is>
          <t>OH</t>
        </is>
      </c>
      <c r="D154" s="14" t="n">
        <v>0.019</v>
      </c>
      <c r="E154" s="15" t="inlineStr">
        <is>
          <t>Ohio municipal income tax (approx.).</t>
        </is>
      </c>
    </row>
    <row r="155">
      <c r="A155" s="12" t="inlineStr">
        <is>
          <t>CLE</t>
        </is>
      </c>
      <c r="B155" s="12" t="inlineStr">
        <is>
          <t>Cleveland, OH</t>
        </is>
      </c>
      <c r="C155" s="12" t="inlineStr">
        <is>
          <t>OH</t>
        </is>
      </c>
      <c r="D155" s="14" t="n">
        <v>0.025</v>
      </c>
      <c r="E155" s="15" t="inlineStr">
        <is>
          <t>Ohio municipal income tax (approx.).</t>
        </is>
      </c>
    </row>
    <row r="156">
      <c r="A156" s="12" t="inlineStr">
        <is>
          <t>MDCO</t>
        </is>
      </c>
      <c r="B156" s="12" t="inlineStr">
        <is>
          <t>Maryland County (avg.)</t>
        </is>
      </c>
      <c r="C156" s="12" t="inlineStr">
        <is>
          <t>MD</t>
        </is>
      </c>
      <c r="D156" s="14" t="n">
        <v>0.32</v>
      </c>
      <c r="E156" s="15" t="inlineStr">
        <is>
          <t>Average MD county piggyback tax as % of state taxable income equivalent (approx.).</t>
        </is>
      </c>
    </row>
    <row r="157">
      <c r="A157" s="12" t="inlineStr">
        <is>
          <t>INCO</t>
        </is>
      </c>
      <c r="B157" s="12" t="inlineStr">
        <is>
          <t>Indiana County (avg.)</t>
        </is>
      </c>
      <c r="C157" s="12" t="inlineStr">
        <is>
          <t>IN</t>
        </is>
      </c>
      <c r="D157" s="14" t="n">
        <v>0.0165</v>
      </c>
      <c r="E157" s="15" t="inlineStr">
        <is>
          <t>Average Indiana county income tax (approx.).</t>
        </is>
      </c>
    </row>
    <row r="158">
      <c r="A158" s="12" t="inlineStr">
        <is>
          <t>KCMO</t>
        </is>
      </c>
      <c r="B158" s="12" t="inlineStr">
        <is>
          <t>Kansas City, MO</t>
        </is>
      </c>
      <c r="C158" s="12" t="inlineStr">
        <is>
          <t>MO</t>
        </is>
      </c>
      <c r="D158" s="14" t="n">
        <v>0.01</v>
      </c>
      <c r="E158" s="15" t="inlineStr">
        <is>
          <t>Local earnings tax.</t>
        </is>
      </c>
    </row>
    <row r="159">
      <c r="A159" s="12" t="inlineStr">
        <is>
          <t>STL</t>
        </is>
      </c>
      <c r="B159" s="12" t="inlineStr">
        <is>
          <t>St. Louis, MO</t>
        </is>
      </c>
      <c r="C159" s="12" t="inlineStr">
        <is>
          <t>MO</t>
        </is>
      </c>
      <c r="D159" s="14" t="n">
        <v>0.01</v>
      </c>
      <c r="E159" s="15" t="inlineStr">
        <is>
          <t>Local earnings tax.</t>
        </is>
      </c>
    </row>
    <row r="160">
      <c r="A160" s="12" t="inlineStr">
        <is>
          <t>NONE</t>
        </is>
      </c>
      <c r="B160" s="12" t="inlineStr">
        <is>
          <t>None / Not Applicable</t>
        </is>
      </c>
      <c r="C160" s="12" t="inlineStr"/>
      <c r="D160" s="14" t="n">
        <v>0</v>
      </c>
      <c r="E160" s="15" t="inlineStr">
        <is>
          <t>No local tax.</t>
        </is>
      </c>
    </row>
    <row r="161">
      <c r="A161" s="12" t="inlineStr">
        <is>
          <t>OTHER</t>
        </is>
      </c>
      <c r="B161" s="12" t="inlineStr">
        <is>
          <t>Other (Manual Entry)</t>
        </is>
      </c>
      <c r="C161" s="12" t="inlineStr"/>
      <c r="D161" s="14" t="n">
        <v>0</v>
      </c>
      <c r="E161" s="15" t="inlineStr">
        <is>
          <t>Enter a custom local rate on the Inputs tab.</t>
        </is>
      </c>
    </row>
    <row r="163" ht="18" customHeight="1">
      <c r="A163" s="3" t="inlineStr">
        <is>
          <t>Personal Exemption Assumption</t>
        </is>
      </c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</row>
    <row r="164">
      <c r="A164" s="16" t="inlineStr">
        <is>
          <t>Generic State Personal Exemption Amount (per exemption)</t>
        </is>
      </c>
      <c r="C164" s="13" t="n">
        <v>1000</v>
      </c>
    </row>
    <row r="165">
      <c r="A165" s="17" t="inlineStr">
        <is>
          <t>Federal personal exemptions are suspended (set to $0) under current law. Most states that still allow a personal exemption use their own amount; this workbook applies one generic per-exemption reduction to state taxable income for simplicity - update the figure above or refine per state as needed.</t>
        </is>
      </c>
    </row>
    <row r="168">
      <c r="A168" s="18" t="inlineStr">
        <is>
          <t>DISCLAIMER: Estimated for financial-planning purposes only. This calculator is not tax, legal, or accounting advice. Actual tax liability may differ based on individual circumstances, deductions, credits, tax elections, state/local rules, and other factors. Consult a qualified tax professional before making tax-related decisions.</t>
        </is>
      </c>
      <c r="B168" s="19" t="n"/>
      <c r="C168" s="19" t="n"/>
      <c r="D168" s="19" t="n"/>
      <c r="E168" s="19" t="n"/>
      <c r="F168" s="19" t="n"/>
      <c r="G168" s="19" t="n"/>
      <c r="H168" s="19" t="n"/>
      <c r="I168" s="19" t="n"/>
      <c r="J168" s="19" t="n"/>
    </row>
    <row r="169">
      <c r="A169" s="19" t="n"/>
      <c r="B169" s="19" t="n"/>
      <c r="C169" s="19" t="n"/>
      <c r="D169" s="19" t="n"/>
      <c r="E169" s="19" t="n"/>
      <c r="F169" s="19" t="n"/>
      <c r="G169" s="19" t="n"/>
      <c r="H169" s="19" t="n"/>
      <c r="I169" s="19" t="n"/>
      <c r="J169" s="19" t="n"/>
    </row>
    <row r="170">
      <c r="A170" s="19" t="n"/>
      <c r="B170" s="19" t="n"/>
      <c r="C170" s="19" t="n"/>
      <c r="D170" s="19" t="n"/>
      <c r="E170" s="19" t="n"/>
      <c r="F170" s="19" t="n"/>
      <c r="G170" s="19" t="n"/>
      <c r="H170" s="19" t="n"/>
      <c r="I170" s="19" t="n"/>
      <c r="J170" s="19" t="n"/>
    </row>
    <row r="171">
      <c r="A171" s="19" t="n"/>
      <c r="B171" s="19" t="n"/>
      <c r="C171" s="19" t="n"/>
      <c r="D171" s="19" t="n"/>
      <c r="E171" s="19" t="n"/>
      <c r="F171" s="19" t="n"/>
      <c r="G171" s="19" t="n"/>
      <c r="H171" s="19" t="n"/>
      <c r="I171" s="19" t="n"/>
      <c r="J171" s="19" t="n"/>
    </row>
    <row r="172">
      <c r="A172" s="19" t="n"/>
      <c r="B172" s="19" t="n"/>
      <c r="C172" s="19" t="n"/>
      <c r="D172" s="19" t="n"/>
      <c r="E172" s="19" t="n"/>
      <c r="F172" s="19" t="n"/>
      <c r="G172" s="19" t="n"/>
      <c r="H172" s="19" t="n"/>
      <c r="I172" s="19" t="n"/>
      <c r="J172" s="19" t="n"/>
    </row>
    <row r="174" ht="18" customHeight="1">
      <c r="A174" s="3" t="inlineStr">
        <is>
          <t>Key Assumptions</t>
        </is>
      </c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</row>
    <row r="175" ht="40" customHeight="1">
      <c r="A175" s="20" t="inlineStr">
        <is>
          <t>• Tax Year Coverage: 2024 and 2025. Every bracket, deduction, and threshold used by the calculator lives on this tab; nothing is hardcoded in the formulas on the Capital Gains Tax Estimator tab.</t>
        </is>
      </c>
    </row>
    <row r="176" ht="40" customHeight="1">
      <c r="A176" s="20" t="inlineStr">
        <is>
          <t>• Short-term and long-term gains/losses are netted using standard IRC Sec. 1211/1222 ordering (Form 8949 / Schedule D concepts): a net short-term loss first offsets net long-term gain (and vice versa) before any loss is allowed against ordinary income, capped at the annual limit above (with the remainder carried forward indefinitely). Long-term capital gains are 'stacked' on top of ordinary taxable income when applying the 0%/15%/20% preferential brackets, so they are taxed at the rate(s) that actually apply given the household's total income - not an average rate. Short-term gains are taxed as ordinary income.</t>
        </is>
      </c>
    </row>
    <row r="177" ht="40" customHeight="1">
      <c r="A177" s="20" t="inlineStr">
        <is>
          <t>• The Net Investment Income Tax (3.8%) MAGI thresholds are fixed by statute and have not been inflation-adjusted since enactment (2013). MAGI is approximated as taxable ordinary income plus the net capital gain being modeled.</t>
        </is>
      </c>
    </row>
    <row r="178" ht="40" customHeight="1">
      <c r="A178" s="20" t="inlineStr">
        <is>
          <t>• 31 states plus Washington D.C. are modeled individually (no-tax, flat-tax, and progressive structures), plus a manual-entry option for any other state - not all 50 states are included. State brackets use two filing categories: 'Single' (applied to Single, Married Filing Separately, and Head of Household) and 'MFJ' (applied to Married Filing Jointly).</t>
        </is>
      </c>
    </row>
    <row r="179" ht="40" customHeight="1">
      <c r="A179" s="20" t="inlineStr">
        <is>
          <t>• All states are assumed to tax capital gains as ordinary income (i.e., no separate state preferential capital-gains rate), which is accurate for the large majority of states. State tax uses a state-specific standard deduction where available; it does not model every state's exemption or credit nuance - this is a planning estimate, not a full state tax return.</t>
        </is>
      </c>
    </row>
    <row r="180" ht="40" customHeight="1">
      <c r="A180" s="20" t="inlineStr">
        <is>
          <t>• Tax-loss harvesting losses entered in the What-If section are assumed to be long-term in character (the common case for most portfolios).</t>
        </is>
      </c>
    </row>
    <row r="181" ht="40" customHeight="1">
      <c r="A181" s="20" t="inlineStr">
        <is>
          <t>• This workbook does not model AMT, Qualified Business Income deductions, or every state/local nuance.</t>
        </is>
      </c>
    </row>
  </sheetData>
  <mergeCells count="20">
    <mergeCell ref="A79:X79"/>
    <mergeCell ref="A146:X146"/>
    <mergeCell ref="A181:J181"/>
    <mergeCell ref="A174:X174"/>
    <mergeCell ref="A180:J180"/>
    <mergeCell ref="A37:X37"/>
    <mergeCell ref="A165:J165"/>
    <mergeCell ref="A163:X163"/>
    <mergeCell ref="A26:X26"/>
    <mergeCell ref="A176:J176"/>
    <mergeCell ref="A1:J1"/>
    <mergeCell ref="A178:J178"/>
    <mergeCell ref="A4:X4"/>
    <mergeCell ref="A44:X44"/>
    <mergeCell ref="A177:J177"/>
    <mergeCell ref="A168:J172"/>
    <mergeCell ref="A15:X15"/>
    <mergeCell ref="A2:J2"/>
    <mergeCell ref="A179:J179"/>
    <mergeCell ref="A175:J17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2026-09-04T19:30:16Z</dcterms:created>
  <dcterms:modified xsi:type="dcterms:W3CDTF">2026-09-04T19:30:16Z</dcterms:modified>
</cp:coreProperties>
</file>