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v &amp; Interest Tax Calculator" sheetId="1" state="visible" r:id="rId3"/>
    <sheet name="Tax Rates &amp; Assumptions" sheetId="2" state="visible" r:id="rId4"/>
  </sheets>
  <definedNames>
    <definedName function="false" hidden="false" localSheetId="0" name="_xlnm.Print_Area" vbProcedure="false">'Div &amp; Interest Tax Calculator'!$A$1:$I$45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<sst xmlns="http://schemas.openxmlformats.org/spreadsheetml/2006/main" count="661" uniqueCount="301">
  <si>
    <t xml:space="preserve">DIVIDEND &amp; INTEREST INCOME TAX CALCULATOR</t>
  </si>
  <si>
    <t xml:space="preserve">Estimated federal and state tax on dividends (qualified and non-qualified) and interest income (taxable, U.S. Treasury, and tax-exempt municipal) -- for financial-planning discussion purposes only. This is not tax, legal, or accounting advice. For realized gains/losses, see the companion Capital Gains Tax Estimator.</t>
  </si>
  <si>
    <t xml:space="preserve">CLIENT INPUTS  (enter only the fields that apply)</t>
  </si>
  <si>
    <t xml:space="preserve">Tax Year</t>
  </si>
  <si>
    <t xml:space="preserve">Filing Status</t>
  </si>
  <si>
    <t xml:space="preserve">State of Residence</t>
  </si>
  <si>
    <t xml:space="preserve">Married Filing Jointly</t>
  </si>
  <si>
    <t xml:space="preserve">New Jersey</t>
  </si>
  <si>
    <t xml:space="preserve">Total Household Income (wages/salary; excludes the portfolio income below)</t>
  </si>
  <si>
    <t xml:space="preserve">Pre-Tax Deductions (401(k), HSA, etc.)</t>
  </si>
  <si>
    <t xml:space="preserve">Non-Qualified (Ordinary) Dividends</t>
  </si>
  <si>
    <t xml:space="preserve">Qualified Dividends</t>
  </si>
  <si>
    <t xml:space="preserve">Taxable Interest (bank, CDs, corporate bonds, etc.)</t>
  </si>
  <si>
    <t xml:space="preserve">U.S. Treasury / Government Interest</t>
  </si>
  <si>
    <t xml:space="preserve">Tax-Exempt Municipal Bond Interest -- issued by your state of residence</t>
  </si>
  <si>
    <t xml:space="preserve">Tax-Exempt Municipal Bond Interest -- issued by other states</t>
  </si>
  <si>
    <t xml:space="preserve">PORTFOLIO INCOME</t>
  </si>
  <si>
    <t xml:space="preserve">Total Household Income</t>
  </si>
  <si>
    <t xml:space="preserve">Pre-Tax Deductions</t>
  </si>
  <si>
    <t xml:space="preserve">Standard Deduction (auto, based on tax year &amp; filing status)</t>
  </si>
  <si>
    <t xml:space="preserve">Estimated Taxable Income Before Portfolio Income</t>
  </si>
  <si>
    <t xml:space="preserve">Taxable Interest (incl. U.S. Treasury)</t>
  </si>
  <si>
    <t xml:space="preserve">Tax-Exempt Municipal Bond Interest (informational; not federally taxed)</t>
  </si>
  <si>
    <t xml:space="preserve">Total Taxable Portfolio Income -- Overall</t>
  </si>
  <si>
    <t xml:space="preserve">ESTIMATED FEDERAL TAX</t>
  </si>
  <si>
    <t xml:space="preserve">Tax on Non-Qualified Dividends &amp; Interest (ordinary rates)</t>
  </si>
  <si>
    <t xml:space="preserve">Tax on Qualified Dividends (0% / 15% / 20%, stacked)</t>
  </si>
  <si>
    <t xml:space="preserve">Net Investment Income Tax (NIIT, 3.8%, when applicable)</t>
  </si>
  <si>
    <t xml:space="preserve">Total Estimated Federal Tax</t>
  </si>
  <si>
    <t xml:space="preserve">ESTIMATED STATE TAX</t>
  </si>
  <si>
    <t xml:space="preserve">State</t>
  </si>
  <si>
    <t xml:space="preserve">State Tax Treatment</t>
  </si>
  <si>
    <t xml:space="preserve">Estimated State Tax on Portfolio Income</t>
  </si>
  <si>
    <t xml:space="preserve">TOTAL</t>
  </si>
  <si>
    <t xml:space="preserve">Total Estimated Tax on Portfolio Income (Federal + State)</t>
  </si>
  <si>
    <t xml:space="preserve">Effective Tax Rate on Portfolio Income</t>
  </si>
  <si>
    <t xml:space="preserve">Estimated After-Tax Portfolio Income</t>
  </si>
  <si>
    <t xml:space="preserve">DISCLAIMER: This calculator produces a planning-level ESTIMATE only. It is not tax, legal, or accounting advice and should not be relied upon to prepare an actual tax return. It does not account for every individual tax situation -- among other things, it does not model AMT (including the municipal-bond private-activity-bond preference item), tax credits, itemized deductions, self-employment or additional Medicare tax, the taxation of Social Security benefits, ACA premium tax credit MAGI effects, or local/municipal income taxes (other than where noted). U.S. Treasury interest is assumed exempt from state tax in every state (a federal-law requirement); in-state municipal bond interest is assumed state-exempt and out-of-state municipal bond interest is assumed state-taxable -- a small number of states may vary from this general rule. State figures are simplified and some bracket thresholds are approximate -- see the notes column on the 'Tax Rates &amp; Assumptions' tab for each state's specific assumptions, and verify current-year figures before precise client use. This tool does not cover realized capital gains or losses -- see the companion Capital Gains Tax Estimator for that. Always consult a qualified tax professional before making decisions based on this estimate. To update for a future tax year, edit the brackets and thresholds on the 'Tax Rates &amp; Assumptions' tab -- no formulas on this tab need to change.</t>
  </si>
  <si>
    <t xml:space="preserve">CALCULATION DETAIL (reference only -- expand the outline to the left to audit the formulas behind every figure above)</t>
  </si>
  <si>
    <t xml:space="preserve">Filing category (Single/MFJ)</t>
  </si>
  <si>
    <t xml:space="preserve">Federal key</t>
  </si>
  <si>
    <t xml:space="preserve">Federal ordinary bracket row#</t>
  </si>
  <si>
    <t xml:space="preserve">Qualified-dividend (LTCG-rate) bracket row#</t>
  </si>
  <si>
    <t xml:space="preserve">Standard deduction row#</t>
  </si>
  <si>
    <t xml:space="preserve">NIIT row#</t>
  </si>
  <si>
    <t xml:space="preserve">State code</t>
  </si>
  <si>
    <t xml:space="preserve">State master row#</t>
  </si>
  <si>
    <t xml:space="preserve">State bracket key</t>
  </si>
  <si>
    <t xml:space="preserve">State bracket row#</t>
  </si>
  <si>
    <t xml:space="preserve">Standard deduction</t>
  </si>
  <si>
    <t xml:space="preserve">NIIT MAGI threshold</t>
  </si>
  <si>
    <t xml:space="preserve">NIIT rate</t>
  </si>
  <si>
    <t xml:space="preserve">State tax type</t>
  </si>
  <si>
    <t xml:space="preserve">State special mechanism</t>
  </si>
  <si>
    <t xml:space="preserve">Special param 1</t>
  </si>
  <si>
    <t xml:space="preserve">Special param 2</t>
  </si>
  <si>
    <t xml:space="preserve">Special param 3</t>
  </si>
  <si>
    <t xml:space="preserve">State standard deduction</t>
  </si>
  <si>
    <t xml:space="preserve">State description</t>
  </si>
  <si>
    <t xml:space="preserve">Federal Ordinary Brackets (staged)</t>
  </si>
  <si>
    <t xml:space="preserve">Qualified-Dividend (LTCG-rate) Brackets (staged)</t>
  </si>
  <si>
    <t xml:space="preserve">State Brackets (staged)</t>
  </si>
  <si>
    <t xml:space="preserve">Federal Tax Stacking</t>
  </si>
  <si>
    <t xml:space="preserve">Taxable income before portfolio income</t>
  </si>
  <si>
    <t xml:space="preserve">Ordinary-taxed portfolio income (non-qual. div + taxable int. + Treasury int.)</t>
  </si>
  <si>
    <t xml:space="preserve">Taxable income after ordinary-taxed portfolio income</t>
  </si>
  <si>
    <t xml:space="preserve">Federal ordinary tax on income alone</t>
  </si>
  <si>
    <t xml:space="preserve">Federal ordinary tax including non-qualified dividends &amp; interest</t>
  </si>
  <si>
    <t xml:space="preserve">Federal tax on non-qualified dividends &amp; interest (ordinary rates)</t>
  </si>
  <si>
    <t xml:space="preserve">Qualified-dividend bracket tax at the stacking point (before qualified dividends)</t>
  </si>
  <si>
    <t xml:space="preserve">Qualified-dividend bracket tax including qualified dividends</t>
  </si>
  <si>
    <t xml:space="preserve">Federal tax on qualified dividends (stacked 0%/15%/20%)</t>
  </si>
  <si>
    <t xml:space="preserve">Net investment income (modeled dividends &amp; interest; excludes tax-exempt muni interest)</t>
  </si>
  <si>
    <t xml:space="preserve">MAGI estimate</t>
  </si>
  <si>
    <t xml:space="preserve">Net Investment Income Tax (NIIT)</t>
  </si>
  <si>
    <t xml:space="preserve">Total estimated federal tax on the portfolio income</t>
  </si>
  <si>
    <t xml:space="preserve">State Tax</t>
  </si>
  <si>
    <t xml:space="preserve">State taxable income before the portfolio income</t>
  </si>
  <si>
    <t xml:space="preserve">State taxable income including all state-taxable portfolio income</t>
  </si>
  <si>
    <t xml:space="preserve">Generic state bracket tax on the portfolio income</t>
  </si>
  <si>
    <t xml:space="preserve">MA: state income including all state-taxable portfolio income</t>
  </si>
  <si>
    <t xml:space="preserve">MA: incremental 4% surtax caused by the portfolio income</t>
  </si>
  <si>
    <t xml:space="preserve">MA total tax on the portfolio income (flat 5% + surtax, special)</t>
  </si>
  <si>
    <t xml:space="preserve">Estimated state tax on the portfolio income (final, by state type)</t>
  </si>
  <si>
    <t xml:space="preserve">Total estimated tax on the portfolio income (federal + state)</t>
  </si>
  <si>
    <t xml:space="preserve">Total taxable portfolio income (for effective-rate calc; excludes tax-exempt muni interest)</t>
  </si>
  <si>
    <t xml:space="preserve">Effective tax rate on the portfolio income</t>
  </si>
  <si>
    <t xml:space="preserve">Estimated after-tax portfolio income</t>
  </si>
  <si>
    <t xml:space="preserve">TAX RATES &amp; ASSUMPTIONS</t>
  </si>
  <si>
    <t xml:space="preserve">This tab stores every tax-law figure used by the Dividend &amp; Interest Income Tax Calculator (federal brackets, deduction amounts, thresholds, and all 50-state + DC treatment), organized by tax year. Update it to refresh figures for a new tax year -- no formulas on the Calculator tab need to change. Cells with a Notes column document simplifications/assumptions; verify flagged figures before precise client use.</t>
  </si>
  <si>
    <t xml:space="preserve">Federal Ordinary Income Tax Brackets</t>
  </si>
  <si>
    <t xml:space="preserve">Year</t>
  </si>
  <si>
    <t xml:space="preserve">Key</t>
  </si>
  <si>
    <t xml:space="preserve">Rate 1</t>
  </si>
  <si>
    <t xml:space="preserve">Min 1</t>
  </si>
  <si>
    <t xml:space="preserve">Max 1</t>
  </si>
  <si>
    <t xml:space="preserve">Rate 2</t>
  </si>
  <si>
    <t xml:space="preserve">Min 2</t>
  </si>
  <si>
    <t xml:space="preserve">Max 2</t>
  </si>
  <si>
    <t xml:space="preserve">Rate 3</t>
  </si>
  <si>
    <t xml:space="preserve">Min 3</t>
  </si>
  <si>
    <t xml:space="preserve">Max 3</t>
  </si>
  <si>
    <t xml:space="preserve">Rate 4</t>
  </si>
  <si>
    <t xml:space="preserve">Min 4</t>
  </si>
  <si>
    <t xml:space="preserve">Max 4</t>
  </si>
  <si>
    <t xml:space="preserve">Rate 5</t>
  </si>
  <si>
    <t xml:space="preserve">Min 5</t>
  </si>
  <si>
    <t xml:space="preserve">Max 5</t>
  </si>
  <si>
    <t xml:space="preserve">Rate 6</t>
  </si>
  <si>
    <t xml:space="preserve">Min 6</t>
  </si>
  <si>
    <t xml:space="preserve">Max 6</t>
  </si>
  <si>
    <t xml:space="preserve">Rate 7</t>
  </si>
  <si>
    <t xml:space="preserve">Min 7</t>
  </si>
  <si>
    <t xml:space="preserve">Max 7</t>
  </si>
  <si>
    <t xml:space="preserve">Single</t>
  </si>
  <si>
    <t xml:space="preserve">MFJ</t>
  </si>
  <si>
    <t xml:space="preserve">Federal Qualified Dividend / LTCG-Rate Brackets (0% / 15% / 20%)</t>
  </si>
  <si>
    <t xml:space="preserve">Federal Standard Deduction</t>
  </si>
  <si>
    <t xml:space="preserve">Standard Deduction</t>
  </si>
  <si>
    <t xml:space="preserve">NIIT Thresholds &amp; Rate (fixed by statute)</t>
  </si>
  <si>
    <t xml:space="preserve">NIIT MAGI Threshold</t>
  </si>
  <si>
    <t xml:space="preserve">NIIT Rate</t>
  </si>
  <si>
    <t xml:space="preserve">State Master List &amp; Interest/Dividend Tax Treatment (all 50 states + DC)</t>
  </si>
  <si>
    <t xml:space="preserve">State Code</t>
  </si>
  <si>
    <t xml:space="preserve">State Name</t>
  </si>
  <si>
    <t xml:space="preserve">Tax Type</t>
  </si>
  <si>
    <t xml:space="preserve">Flat Rate</t>
  </si>
  <si>
    <t xml:space="preserve">Special Mechanism</t>
  </si>
  <si>
    <t xml:space="preserve">Special Param 1</t>
  </si>
  <si>
    <t xml:space="preserve">Special Param 2</t>
  </si>
  <si>
    <t xml:space="preserve">Special Param 3</t>
  </si>
  <si>
    <t xml:space="preserve">Special Param 4</t>
  </si>
  <si>
    <t xml:space="preserve">Std. Deduction (Single)</t>
  </si>
  <si>
    <t xml:space="preserve">Std. Deduction (MFJ)</t>
  </si>
  <si>
    <t xml:space="preserve">Client-Facing Description</t>
  </si>
  <si>
    <t xml:space="preserve">Notes / Assumptions / Vintage</t>
  </si>
  <si>
    <t xml:space="preserve">AL</t>
  </si>
  <si>
    <t xml:space="preserve">Alabama</t>
  </si>
  <si>
    <t xml:space="preserve">Bracket</t>
  </si>
  <si>
    <t xml:space="preserve">Progressive brackets (taxed as ordinary income)</t>
  </si>
  <si>
    <t xml:space="preserve">Graduated brackets, but thresholds are so low most filers effectively pay the 5% top rate.</t>
  </si>
  <si>
    <t xml:space="preserve">AK</t>
  </si>
  <si>
    <t xml:space="preserve">Alaska</t>
  </si>
  <si>
    <t xml:space="preserve">None</t>
  </si>
  <si>
    <t xml:space="preserve">No state income tax</t>
  </si>
  <si>
    <t xml:space="preserve">No individual income tax; interest and dividends are not taxed.</t>
  </si>
  <si>
    <t xml:space="preserve">AZ</t>
  </si>
  <si>
    <t xml:space="preserve">Arizona</t>
  </si>
  <si>
    <t xml:space="preserve">Flat</t>
  </si>
  <si>
    <t xml:space="preserve">Flat 2.50%</t>
  </si>
  <si>
    <t xml:space="preserve">Flat-rate state; 2.50% applies to all taxable income including interest and dividends. 2025 rate.</t>
  </si>
  <si>
    <t xml:space="preserve">AR</t>
  </si>
  <si>
    <t xml:space="preserve">Arkansas</t>
  </si>
  <si>
    <t xml:space="preserve">Graduated brackets (same schedule for all filing statuses; simplified/approximate). (Arkansas's 50% capital-gains exclusion does not apply to interest or dividends.)</t>
  </si>
  <si>
    <t xml:space="preserve">CA</t>
  </si>
  <si>
    <t xml:space="preserve">California</t>
  </si>
  <si>
    <t xml:space="preserve">Progressive brackets; includes the 1% Mental Health Services surcharge on income over $1,000,000.</t>
  </si>
  <si>
    <t xml:space="preserve">CO</t>
  </si>
  <si>
    <t xml:space="preserve">Colorado</t>
  </si>
  <si>
    <t xml:space="preserve">Flat 4.25%</t>
  </si>
  <si>
    <t xml:space="preserve">Flat-rate state; 4.25% applies to all taxable income including interest and dividends. 2025 rate.</t>
  </si>
  <si>
    <t xml:space="preserve">CT</t>
  </si>
  <si>
    <t xml:space="preserve">Connecticut</t>
  </si>
  <si>
    <t xml:space="preserve">Progressive brackets. Connecticut's benefit-recapture provision for high earners is not modeled.</t>
  </si>
  <si>
    <t xml:space="preserve">DE</t>
  </si>
  <si>
    <t xml:space="preserve">Delaware</t>
  </si>
  <si>
    <t xml:space="preserve">Progressive brackets (same schedule for all filing statuses).</t>
  </si>
  <si>
    <t xml:space="preserve">DC</t>
  </si>
  <si>
    <t xml:space="preserve">District of Columbia</t>
  </si>
  <si>
    <t xml:space="preserve">FL</t>
  </si>
  <si>
    <t xml:space="preserve">Florida</t>
  </si>
  <si>
    <t xml:space="preserve">GA</t>
  </si>
  <si>
    <t xml:space="preserve">Georgia</t>
  </si>
  <si>
    <t xml:space="preserve">Flat 5.19%</t>
  </si>
  <si>
    <t xml:space="preserve">Flat-rate state; 5.19% applies to all taxable income including interest and dividends. 2025 rate.</t>
  </si>
  <si>
    <t xml:space="preserve">HI</t>
  </si>
  <si>
    <t xml:space="preserve">Hawaii</t>
  </si>
  <si>
    <t xml:space="preserve">Progressive brackets up to 11%. (Hawaii's 7.25% preferential rate applies only to long-term capital gains, not to interest or dividends.) Middle bracket thresholds are approximate -- verify against HI DOTAX.</t>
  </si>
  <si>
    <t xml:space="preserve">ID</t>
  </si>
  <si>
    <t xml:space="preserve">Idaho</t>
  </si>
  <si>
    <t xml:space="preserve">Flat 5.30%</t>
  </si>
  <si>
    <t xml:space="preserve">Flat-rate state; 5.30% applies to all taxable income including interest and dividends. 2025 rate.</t>
  </si>
  <si>
    <t xml:space="preserve">IL</t>
  </si>
  <si>
    <t xml:space="preserve">Illinois</t>
  </si>
  <si>
    <t xml:space="preserve">Flat 4.95%</t>
  </si>
  <si>
    <t xml:space="preserve">Flat-rate state; 4.95% applies to all taxable income including interest and dividends. 2025 rate.</t>
  </si>
  <si>
    <t xml:space="preserve">IN</t>
  </si>
  <si>
    <t xml:space="preserve">Indiana</t>
  </si>
  <si>
    <t xml:space="preserve">Flat 3.00%</t>
  </si>
  <si>
    <t xml:space="preserve">Flat-rate state; 3.00% applies to all taxable income including interest and dividends. 2025 rate.</t>
  </si>
  <si>
    <t xml:space="preserve">IA</t>
  </si>
  <si>
    <t xml:space="preserve">Iowa</t>
  </si>
  <si>
    <t xml:space="preserve">Flat 3.80%</t>
  </si>
  <si>
    <t xml:space="preserve">Flat-rate state; 3.80% applies to all taxable income including interest and dividends. 2025 rate.</t>
  </si>
  <si>
    <t xml:space="preserve">KS</t>
  </si>
  <si>
    <t xml:space="preserve">Kansas</t>
  </si>
  <si>
    <t xml:space="preserve">Two-bracket structure.</t>
  </si>
  <si>
    <t xml:space="preserve">KY</t>
  </si>
  <si>
    <t xml:space="preserve">Kentucky</t>
  </si>
  <si>
    <t xml:space="preserve">Flat 4.00%</t>
  </si>
  <si>
    <t xml:space="preserve">Flat-rate state; 4.00% applies to all taxable income including interest and dividends. 2025 rate.</t>
  </si>
  <si>
    <t xml:space="preserve">LA</t>
  </si>
  <si>
    <t xml:space="preserve">Louisiana</t>
  </si>
  <si>
    <t xml:space="preserve">ME</t>
  </si>
  <si>
    <t xml:space="preserve">Maine</t>
  </si>
  <si>
    <t xml:space="preserve">Progressive brackets.</t>
  </si>
  <si>
    <t xml:space="preserve">MD</t>
  </si>
  <si>
    <t xml:space="preserve">Maryland</t>
  </si>
  <si>
    <t xml:space="preserve">Progressive brackets (includes the 6.25%/6.5% top brackets added for 2025). Excludes county/city 'piggyback' local income tax (2.25%-3.20%) -- actual total MD tax will be higher than shown.</t>
  </si>
  <si>
    <t xml:space="preserve">MA</t>
  </si>
  <si>
    <t xml:space="preserve">Massachusetts</t>
  </si>
  <si>
    <t xml:space="preserve">Special</t>
  </si>
  <si>
    <t xml:space="preserve">MA_FLAT</t>
  </si>
  <si>
    <t xml:space="preserve">Flat 5% (plus 4% surtax over $1,083,150) -- no qualified-dividend preference</t>
  </si>
  <si>
    <t xml:space="preserve">Flat tax. Massachusetts does NOT give qualified dividends any preferential rate -- all interest and dividends (qualified or not) are taxed at a flat 5%, plus a 4% surtax on all income above $1,083,150 (2025).</t>
  </si>
  <si>
    <t xml:space="preserve">MI</t>
  </si>
  <si>
    <t xml:space="preserve">Michigan</t>
  </si>
  <si>
    <t xml:space="preserve">MN</t>
  </si>
  <si>
    <t xml:space="preserve">Minnesota</t>
  </si>
  <si>
    <t xml:space="preserve">MS</t>
  </si>
  <si>
    <t xml:space="preserve">Mississippi</t>
  </si>
  <si>
    <t xml:space="preserve">Flat 4.40%</t>
  </si>
  <si>
    <t xml:space="preserve">Flat-rate state; 4.40% applies to all taxable income including interest and dividends. 2025 rate.</t>
  </si>
  <si>
    <t xml:space="preserve">MO</t>
  </si>
  <si>
    <t xml:space="preserve">Missouri</t>
  </si>
  <si>
    <t xml:space="preserve">MT</t>
  </si>
  <si>
    <t xml:space="preserve">Montana</t>
  </si>
  <si>
    <t xml:space="preserve">Two-bracket structure. (Montana's lower 3.0%/4.1% rate schedule applies only to long-term capital gains, not to interest or dividends.)</t>
  </si>
  <si>
    <t xml:space="preserve">NE</t>
  </si>
  <si>
    <t xml:space="preserve">Nebraska</t>
  </si>
  <si>
    <t xml:space="preserve">Progressive brackets (middle thresholds approximate).</t>
  </si>
  <si>
    <t xml:space="preserve">NV</t>
  </si>
  <si>
    <t xml:space="preserve">Nevada</t>
  </si>
  <si>
    <t xml:space="preserve">NH</t>
  </si>
  <si>
    <t xml:space="preserve">New Hampshire</t>
  </si>
  <si>
    <t xml:space="preserve">NJ</t>
  </si>
  <si>
    <t xml:space="preserve">Progressive brackets. Top-bracket thresholds are not doubled for joint filers.</t>
  </si>
  <si>
    <t xml:space="preserve">NM</t>
  </si>
  <si>
    <t xml:space="preserve">New Mexico</t>
  </si>
  <si>
    <t xml:space="preserve">Progressive brackets (approximate -- verify against NM TRD).</t>
  </si>
  <si>
    <t xml:space="preserve">NY</t>
  </si>
  <si>
    <t xml:space="preserve">New York</t>
  </si>
  <si>
    <t xml:space="preserve">Progressive brackets. NYC/local tax not modeled.</t>
  </si>
  <si>
    <t xml:space="preserve">NC</t>
  </si>
  <si>
    <t xml:space="preserve">North Carolina</t>
  </si>
  <si>
    <t xml:space="preserve">ND</t>
  </si>
  <si>
    <t xml:space="preserve">North Dakota</t>
  </si>
  <si>
    <t xml:space="preserve">Very low progressive brackets.</t>
  </si>
  <si>
    <t xml:space="preserve">OH</t>
  </si>
  <si>
    <t xml:space="preserve">Ohio</t>
  </si>
  <si>
    <t xml:space="preserve">Progressive brackets (same schedule for all filing statuses). Municipal/local income tax not modeled.</t>
  </si>
  <si>
    <t xml:space="preserve">OK</t>
  </si>
  <si>
    <t xml:space="preserve">Oklahoma</t>
  </si>
  <si>
    <t xml:space="preserve">OR</t>
  </si>
  <si>
    <t xml:space="preserve">Oregon</t>
  </si>
  <si>
    <t xml:space="preserve">PA</t>
  </si>
  <si>
    <t xml:space="preserve">Pennsylvania</t>
  </si>
  <si>
    <t xml:space="preserve">Flat 3.07%</t>
  </si>
  <si>
    <t xml:space="preserve">Flat-rate state; 3.07% applies to all taxable income including interest and dividends. 2025 rate.</t>
  </si>
  <si>
    <t xml:space="preserve">RI</t>
  </si>
  <si>
    <t xml:space="preserve">Rhode Island</t>
  </si>
  <si>
    <t xml:space="preserve">SC</t>
  </si>
  <si>
    <t xml:space="preserve">South Carolina</t>
  </si>
  <si>
    <t xml:space="preserve">Progressive brackets (same schedule for all filing statuses). (South Carolina's capital-gains exclusion does not apply to interest or dividends.)</t>
  </si>
  <si>
    <t xml:space="preserve">SD</t>
  </si>
  <si>
    <t xml:space="preserve">South Dakota</t>
  </si>
  <si>
    <t xml:space="preserve">TN</t>
  </si>
  <si>
    <t xml:space="preserve">Tennessee</t>
  </si>
  <si>
    <t xml:space="preserve">TX</t>
  </si>
  <si>
    <t xml:space="preserve">Texas</t>
  </si>
  <si>
    <t xml:space="preserve">UT</t>
  </si>
  <si>
    <t xml:space="preserve">Utah</t>
  </si>
  <si>
    <t xml:space="preserve">Flat 4.50%</t>
  </si>
  <si>
    <t xml:space="preserve">Flat-rate state; 4.50% applies to all taxable income including interest and dividends. 2025 rate.</t>
  </si>
  <si>
    <t xml:space="preserve">VT</t>
  </si>
  <si>
    <t xml:space="preserve">Vermont</t>
  </si>
  <si>
    <t xml:space="preserve">Progressive brackets (MFJ thresholds approximate -- verify against VT Dept. of Taxes).</t>
  </si>
  <si>
    <t xml:space="preserve">VA</t>
  </si>
  <si>
    <t xml:space="preserve">Virginia</t>
  </si>
  <si>
    <t xml:space="preserve">WA</t>
  </si>
  <si>
    <t xml:space="preserve">Washington</t>
  </si>
  <si>
    <t xml:space="preserve">Washington has no individual income tax and does not tax interest or dividends at all (its capital-gains excise tax applies only to certain long-term capital gains).</t>
  </si>
  <si>
    <t xml:space="preserve">WV</t>
  </si>
  <si>
    <t xml:space="preserve">West Virginia</t>
  </si>
  <si>
    <t xml:space="preserve">Progressive brackets (same schedule for single/MFJ/HOH).</t>
  </si>
  <si>
    <t xml:space="preserve">WI</t>
  </si>
  <si>
    <t xml:space="preserve">Wisconsin</t>
  </si>
  <si>
    <t xml:space="preserve">Progressive brackets. (Wisconsin's 30% long-term capital-gains exclusion does not apply to interest or dividends.)</t>
  </si>
  <si>
    <t xml:space="preserve">WY</t>
  </si>
  <si>
    <t xml:space="preserve">Wyoming</t>
  </si>
  <si>
    <t xml:space="preserve">State Income Tax Brackets (unified format; up to 10 tiers; Flat/None states use a single degenerate tier)</t>
  </si>
  <si>
    <t xml:space="preserve">Filing Category</t>
  </si>
  <si>
    <t xml:space="preserve">Rate 8</t>
  </si>
  <si>
    <t xml:space="preserve">Min 8</t>
  </si>
  <si>
    <t xml:space="preserve">Max 8</t>
  </si>
  <si>
    <t xml:space="preserve">Rate 9</t>
  </si>
  <si>
    <t xml:space="preserve">Min 9</t>
  </si>
  <si>
    <t xml:space="preserve">Max 9</t>
  </si>
  <si>
    <t xml:space="preserve">Rate 10</t>
  </si>
  <si>
    <t xml:space="preserve">Min 10</t>
  </si>
  <si>
    <t xml:space="preserve">Max 10</t>
  </si>
</sst>
</file>

<file path=xl/styles.xml><?xml version="1.0" encoding="utf-8"?>
<styleSheet xmlns="http://schemas.openxmlformats.org/spreadsheetml/2006/main">
  <numFmts count="7">
    <numFmt numFmtId="164" formatCode="General"/>
    <numFmt numFmtId="165" formatCode="0"/>
    <numFmt numFmtId="166" formatCode="\$#,##0"/>
    <numFmt numFmtId="167" formatCode="\$#,##0;&quot;($&quot;#,##0\)"/>
    <numFmt numFmtId="168" formatCode="0.0%"/>
    <numFmt numFmtId="169" formatCode="0.00%"/>
    <numFmt numFmtId="170" formatCode="#,##0"/>
  </numFmts>
  <fonts count="2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8.5"/>
      <color rgb="FFC00000"/>
      <name val="Arial"/>
      <family val="0"/>
      <charset val="1"/>
    </font>
    <font>
      <b val="true"/>
      <sz val="10.5"/>
      <color rgb="FFFFFFFF"/>
      <name val="Arial"/>
      <family val="0"/>
      <charset val="1"/>
    </font>
    <font>
      <b val="true"/>
      <sz val="10"/>
      <color rgb="FF000000"/>
      <name val="Arial"/>
      <family val="0"/>
      <charset val="1"/>
    </font>
    <font>
      <sz val="10"/>
      <color rgb="FF0000FF"/>
      <name val="Arial"/>
      <family val="0"/>
      <charset val="1"/>
    </font>
    <font>
      <sz val="10"/>
      <name val="Arial"/>
      <family val="0"/>
      <charset val="1"/>
    </font>
    <font>
      <sz val="10"/>
      <color rgb="FF000000"/>
      <name val="Arial"/>
      <family val="0"/>
      <charset val="1"/>
    </font>
    <font>
      <b val="true"/>
      <sz val="10"/>
      <name val="Arial"/>
      <family val="0"/>
      <charset val="1"/>
    </font>
    <font>
      <b val="true"/>
      <sz val="10"/>
      <color rgb="FF1F3864"/>
      <name val="Arial"/>
      <family val="0"/>
      <charset val="1"/>
    </font>
    <font>
      <sz val="9"/>
      <name val="Arial"/>
      <family val="0"/>
      <charset val="1"/>
    </font>
    <font>
      <sz val="9"/>
      <color rgb="FF000000"/>
      <name val="Arial"/>
      <family val="0"/>
      <charset val="1"/>
    </font>
    <font>
      <b val="true"/>
      <sz val="9"/>
      <name val="Arial"/>
      <family val="0"/>
      <charset val="1"/>
    </font>
    <font>
      <i val="true"/>
      <sz val="9"/>
      <color rgb="FF595959"/>
      <name val="Arial"/>
      <family val="0"/>
      <charset val="1"/>
    </font>
    <font>
      <b val="true"/>
      <sz val="14"/>
      <color rgb="FFFFFFFF"/>
      <name val="Arial"/>
      <family val="0"/>
      <charset val="1"/>
    </font>
    <font>
      <i val="true"/>
      <sz val="8"/>
      <color rgb="FF595959"/>
      <name val="Arial"/>
      <family val="0"/>
      <charset val="1"/>
    </font>
    <font>
      <b val="true"/>
      <sz val="8"/>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D9E2F3"/>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5" fontId="8" fillId="3" borderId="1" xfId="0" applyFont="true" applyBorder="true" applyAlignment="true" applyProtection="false">
      <alignment horizontal="right" vertical="bottom" textRotation="0" wrapText="false" indent="0" shrinkToFit="false"/>
      <protection locked="true" hidden="false"/>
    </xf>
    <xf numFmtId="164" fontId="8" fillId="3"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6" fontId="8" fillId="3"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1" shrinkToFit="false"/>
      <protection locked="true" hidden="false"/>
    </xf>
    <xf numFmtId="167" fontId="10" fillId="0" borderId="0" xfId="0" applyFont="true" applyBorder="true" applyAlignment="true" applyProtection="false">
      <alignment horizontal="right" vertical="center" textRotation="0" wrapText="false" indent="0" shrinkToFit="false"/>
      <protection locked="true" hidden="false"/>
    </xf>
    <xf numFmtId="164" fontId="11" fillId="4" borderId="0" xfId="0" applyFont="true" applyBorder="true" applyAlignment="true" applyProtection="false">
      <alignment horizontal="left" vertical="center" textRotation="0" wrapText="true" indent="1" shrinkToFit="false"/>
      <protection locked="true" hidden="false"/>
    </xf>
    <xf numFmtId="167" fontId="12" fillId="4" borderId="0"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true" applyAlignment="true" applyProtection="false">
      <alignment horizontal="left" vertical="center" textRotation="0" wrapText="true" indent="1" shrinkToFit="false"/>
      <protection locked="true" hidden="false"/>
    </xf>
    <xf numFmtId="164" fontId="14" fillId="0" borderId="0" xfId="0" applyFont="true" applyBorder="true" applyAlignment="true" applyProtection="false">
      <alignment horizontal="right" vertical="center" textRotation="0" wrapText="false" indent="0" shrinkToFit="false"/>
      <protection locked="true" hidden="false"/>
    </xf>
    <xf numFmtId="168" fontId="12" fillId="4" borderId="0"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1" outlineLevelCol="0"/>
  <cols>
    <col collapsed="false" customWidth="true" hidden="false" outlineLevel="0" max="1" min="1" style="0" width="2"/>
    <col collapsed="false" customWidth="true" hidden="false" outlineLevel="0" max="2" min="2" style="0" width="20"/>
    <col collapsed="false" customWidth="true" hidden="false" outlineLevel="0" max="3" min="3" style="0" width="14"/>
    <col collapsed="false" customWidth="true" hidden="false" outlineLevel="0" max="4" min="4" style="0" width="2"/>
    <col collapsed="false" customWidth="true" hidden="false" outlineLevel="0" max="5" min="5" style="0" width="20"/>
    <col collapsed="false" customWidth="true" hidden="false" outlineLevel="0" max="6" min="6" style="0" width="14"/>
    <col collapsed="false" customWidth="true" hidden="false" outlineLevel="0" max="7" min="7" style="0" width="3"/>
    <col collapsed="false" customWidth="true" hidden="false" outlineLevel="0" max="8" min="8" style="0" width="20"/>
    <col collapsed="false" customWidth="true" hidden="false" outlineLevel="0" max="9" min="9" style="0" width="14"/>
    <col collapsed="false" customWidth="true" hidden="false" outlineLevel="0" max="11" min="11" style="0" width="46"/>
    <col collapsed="false" customWidth="true" hidden="false" outlineLevel="0" max="12" min="12" style="0" width="14"/>
    <col collapsed="false" customWidth="true" hidden="false" outlineLevel="0" max="14" min="13" style="0" width="12"/>
  </cols>
  <sheetData>
    <row r="1" customFormat="false" ht="25.5" hidden="false" customHeight="true" outlineLevel="0" collapsed="false">
      <c r="A1" s="1" t="s">
        <v>0</v>
      </c>
      <c r="B1" s="1"/>
      <c r="C1" s="1"/>
      <c r="D1" s="1"/>
      <c r="E1" s="1"/>
      <c r="F1" s="1"/>
      <c r="G1" s="1"/>
      <c r="H1" s="1"/>
      <c r="I1" s="1"/>
    </row>
    <row r="2" customFormat="false" ht="24" hidden="false" customHeight="true" outlineLevel="0" collapsed="false">
      <c r="A2" s="2" t="s">
        <v>1</v>
      </c>
      <c r="B2" s="2"/>
      <c r="C2" s="2"/>
      <c r="D2" s="2"/>
      <c r="E2" s="2"/>
      <c r="F2" s="2"/>
      <c r="G2" s="2"/>
      <c r="H2" s="2"/>
      <c r="I2" s="2"/>
    </row>
    <row r="4" customFormat="false" ht="19.5" hidden="false" customHeight="true" outlineLevel="0" collapsed="false">
      <c r="A4" s="3" t="s">
        <v>2</v>
      </c>
      <c r="B4" s="3"/>
      <c r="C4" s="3"/>
      <c r="D4" s="3"/>
      <c r="E4" s="3"/>
      <c r="F4" s="3"/>
      <c r="G4" s="3"/>
      <c r="H4" s="3"/>
      <c r="I4" s="3"/>
    </row>
    <row r="5" customFormat="false" ht="25.5" hidden="false" customHeight="true" outlineLevel="0" collapsed="false">
      <c r="B5" s="4" t="s">
        <v>3</v>
      </c>
      <c r="E5" s="4" t="s">
        <v>4</v>
      </c>
      <c r="H5" s="4" t="s">
        <v>5</v>
      </c>
    </row>
    <row r="6" customFormat="false" ht="15" hidden="false" customHeight="false" outlineLevel="0" collapsed="false">
      <c r="C6" s="5" t="n">
        <v>2025</v>
      </c>
      <c r="F6" s="6" t="s">
        <v>6</v>
      </c>
      <c r="I6" s="6" t="s">
        <v>7</v>
      </c>
    </row>
    <row r="7" customFormat="false" ht="30" hidden="false" customHeight="true" outlineLevel="0" collapsed="false">
      <c r="B7" s="7" t="s">
        <v>8</v>
      </c>
      <c r="C7" s="7"/>
      <c r="D7" s="7"/>
      <c r="E7" s="4" t="s">
        <v>9</v>
      </c>
      <c r="H7" s="4" t="s">
        <v>10</v>
      </c>
    </row>
    <row r="8" customFormat="false" ht="15" hidden="false" customHeight="false" outlineLevel="0" collapsed="false">
      <c r="C8" s="8" t="n">
        <v>200000</v>
      </c>
      <c r="F8" s="8" t="n">
        <v>10000</v>
      </c>
      <c r="I8" s="8" t="n">
        <v>5000</v>
      </c>
    </row>
    <row r="9" customFormat="false" ht="25.5" hidden="false" customHeight="true" outlineLevel="0" collapsed="false">
      <c r="B9" s="4" t="s">
        <v>11</v>
      </c>
      <c r="E9" s="4" t="s">
        <v>12</v>
      </c>
      <c r="H9" s="4" t="s">
        <v>13</v>
      </c>
    </row>
    <row r="10" customFormat="false" ht="15" hidden="false" customHeight="false" outlineLevel="0" collapsed="false">
      <c r="C10" s="8" t="n">
        <v>15000</v>
      </c>
      <c r="F10" s="8" t="n">
        <v>8000</v>
      </c>
      <c r="I10" s="8" t="n">
        <v>4000</v>
      </c>
    </row>
    <row r="11" customFormat="false" ht="30" hidden="false" customHeight="true" outlineLevel="0" collapsed="false">
      <c r="B11" s="7" t="s">
        <v>14</v>
      </c>
      <c r="C11" s="7"/>
      <c r="D11" s="7"/>
      <c r="E11" s="7" t="s">
        <v>15</v>
      </c>
      <c r="F11" s="7"/>
    </row>
    <row r="12" customFormat="false" ht="15" hidden="false" customHeight="false" outlineLevel="0" collapsed="false">
      <c r="C12" s="8" t="n">
        <v>0</v>
      </c>
      <c r="F12" s="8" t="n">
        <v>0</v>
      </c>
    </row>
    <row r="14" customFormat="false" ht="19.5" hidden="false" customHeight="true" outlineLevel="0" collapsed="false">
      <c r="A14" s="3" t="s">
        <v>16</v>
      </c>
      <c r="B14" s="3"/>
      <c r="C14" s="3"/>
      <c r="D14" s="3"/>
      <c r="E14" s="3"/>
      <c r="F14" s="3"/>
      <c r="G14" s="3"/>
      <c r="H14" s="3"/>
      <c r="I14" s="3"/>
    </row>
    <row r="15" customFormat="false" ht="15" hidden="false" customHeight="true" outlineLevel="0" collapsed="false">
      <c r="B15" s="9" t="s">
        <v>17</v>
      </c>
      <c r="C15" s="9"/>
      <c r="D15" s="9"/>
      <c r="E15" s="9"/>
      <c r="F15" s="9"/>
      <c r="G15" s="10" t="n">
        <f aca="false">C8</f>
        <v>200000</v>
      </c>
      <c r="H15" s="10"/>
      <c r="I15" s="10"/>
    </row>
    <row r="16" customFormat="false" ht="15" hidden="false" customHeight="true" outlineLevel="0" collapsed="false">
      <c r="B16" s="9" t="s">
        <v>18</v>
      </c>
      <c r="C16" s="9"/>
      <c r="D16" s="9"/>
      <c r="E16" s="9"/>
      <c r="F16" s="9"/>
      <c r="G16" s="10" t="n">
        <f aca="false">F8</f>
        <v>10000</v>
      </c>
      <c r="H16" s="10"/>
      <c r="I16" s="10"/>
    </row>
    <row r="17" customFormat="false" ht="15" hidden="false" customHeight="true" outlineLevel="0" collapsed="false">
      <c r="B17" s="9" t="s">
        <v>19</v>
      </c>
      <c r="C17" s="9"/>
      <c r="D17" s="9"/>
      <c r="E17" s="9"/>
      <c r="F17" s="9"/>
      <c r="G17" s="10" t="n">
        <f aca="false">L65</f>
        <v>30000</v>
      </c>
      <c r="H17" s="10"/>
      <c r="I17" s="10"/>
    </row>
    <row r="18" customFormat="false" ht="15" hidden="false" customHeight="true" outlineLevel="0" collapsed="false">
      <c r="B18" s="9" t="s">
        <v>20</v>
      </c>
      <c r="C18" s="9"/>
      <c r="D18" s="9"/>
      <c r="E18" s="9"/>
      <c r="F18" s="9"/>
      <c r="G18" s="10" t="n">
        <f aca="false">L99</f>
        <v>160000</v>
      </c>
      <c r="H18" s="10"/>
      <c r="I18" s="10"/>
    </row>
    <row r="19" customFormat="false" ht="15" hidden="false" customHeight="true" outlineLevel="0" collapsed="false">
      <c r="B19" s="9" t="s">
        <v>10</v>
      </c>
      <c r="C19" s="9"/>
      <c r="D19" s="9"/>
      <c r="E19" s="9"/>
      <c r="F19" s="9"/>
      <c r="G19" s="10" t="n">
        <f aca="false">I8</f>
        <v>5000</v>
      </c>
      <c r="H19" s="10"/>
      <c r="I19" s="10"/>
    </row>
    <row r="20" customFormat="false" ht="15" hidden="false" customHeight="true" outlineLevel="0" collapsed="false">
      <c r="B20" s="9" t="s">
        <v>11</v>
      </c>
      <c r="C20" s="9"/>
      <c r="D20" s="9"/>
      <c r="E20" s="9"/>
      <c r="F20" s="9"/>
      <c r="G20" s="10" t="n">
        <f aca="false">C10</f>
        <v>15000</v>
      </c>
      <c r="H20" s="10"/>
      <c r="I20" s="10"/>
    </row>
    <row r="21" customFormat="false" ht="15" hidden="false" customHeight="true" outlineLevel="0" collapsed="false">
      <c r="B21" s="9" t="s">
        <v>21</v>
      </c>
      <c r="C21" s="9"/>
      <c r="D21" s="9"/>
      <c r="E21" s="9"/>
      <c r="F21" s="9"/>
      <c r="G21" s="10" t="n">
        <f aca="false">(F10+I10)</f>
        <v>12000</v>
      </c>
      <c r="H21" s="10"/>
      <c r="I21" s="10"/>
    </row>
    <row r="22" customFormat="false" ht="15" hidden="false" customHeight="true" outlineLevel="0" collapsed="false">
      <c r="B22" s="9" t="s">
        <v>22</v>
      </c>
      <c r="C22" s="9"/>
      <c r="D22" s="9"/>
      <c r="E22" s="9"/>
      <c r="F22" s="9"/>
      <c r="G22" s="10" t="n">
        <f aca="false">(C12+F12)</f>
        <v>0</v>
      </c>
      <c r="H22" s="10"/>
      <c r="I22" s="10"/>
    </row>
    <row r="23" customFormat="false" ht="15" hidden="false" customHeight="true" outlineLevel="0" collapsed="false">
      <c r="B23" s="11" t="s">
        <v>23</v>
      </c>
      <c r="C23" s="11"/>
      <c r="D23" s="11"/>
      <c r="E23" s="11"/>
      <c r="F23" s="11"/>
      <c r="G23" s="12" t="n">
        <f aca="false">L121</f>
        <v>32000</v>
      </c>
      <c r="H23" s="12"/>
      <c r="I23" s="12"/>
    </row>
    <row r="25" customFormat="false" ht="19.5" hidden="false" customHeight="true" outlineLevel="0" collapsed="false">
      <c r="A25" s="3" t="s">
        <v>24</v>
      </c>
      <c r="B25" s="3"/>
      <c r="C25" s="3"/>
      <c r="D25" s="3"/>
      <c r="E25" s="3"/>
      <c r="F25" s="3"/>
      <c r="G25" s="3"/>
      <c r="H25" s="3"/>
      <c r="I25" s="3"/>
    </row>
    <row r="26" customFormat="false" ht="15" hidden="false" customHeight="true" outlineLevel="0" collapsed="false">
      <c r="B26" s="9" t="s">
        <v>25</v>
      </c>
      <c r="C26" s="9"/>
      <c r="D26" s="9"/>
      <c r="E26" s="9"/>
      <c r="F26" s="9"/>
      <c r="G26" s="10" t="n">
        <f aca="false">L104</f>
        <v>3740</v>
      </c>
      <c r="H26" s="10"/>
      <c r="I26" s="10"/>
    </row>
    <row r="27" customFormat="false" ht="15" hidden="false" customHeight="true" outlineLevel="0" collapsed="false">
      <c r="B27" s="9" t="s">
        <v>26</v>
      </c>
      <c r="C27" s="9"/>
      <c r="D27" s="9"/>
      <c r="E27" s="9"/>
      <c r="F27" s="9"/>
      <c r="G27" s="10" t="n">
        <f aca="false">L107</f>
        <v>2250</v>
      </c>
      <c r="H27" s="10"/>
      <c r="I27" s="10"/>
    </row>
    <row r="28" customFormat="false" ht="15" hidden="false" customHeight="true" outlineLevel="0" collapsed="false">
      <c r="B28" s="9" t="s">
        <v>27</v>
      </c>
      <c r="C28" s="9"/>
      <c r="D28" s="9"/>
      <c r="E28" s="9"/>
      <c r="F28" s="9"/>
      <c r="G28" s="10" t="n">
        <f aca="false">L110</f>
        <v>0</v>
      </c>
      <c r="H28" s="10"/>
      <c r="I28" s="10"/>
    </row>
    <row r="29" customFormat="false" ht="15" hidden="false" customHeight="true" outlineLevel="0" collapsed="false">
      <c r="B29" s="11" t="s">
        <v>28</v>
      </c>
      <c r="C29" s="11"/>
      <c r="D29" s="11"/>
      <c r="E29" s="11"/>
      <c r="F29" s="11"/>
      <c r="G29" s="12" t="n">
        <f aca="false">L111</f>
        <v>5990</v>
      </c>
      <c r="H29" s="12"/>
      <c r="I29" s="12"/>
    </row>
    <row r="31" customFormat="false" ht="19.5" hidden="false" customHeight="true" outlineLevel="0" collapsed="false">
      <c r="A31" s="3" t="s">
        <v>29</v>
      </c>
      <c r="B31" s="3"/>
      <c r="C31" s="3"/>
      <c r="D31" s="3"/>
      <c r="E31" s="3"/>
      <c r="F31" s="3"/>
      <c r="G31" s="3"/>
      <c r="H31" s="3"/>
      <c r="I31" s="3"/>
    </row>
    <row r="32" customFormat="false" ht="15" hidden="false" customHeight="true" outlineLevel="0" collapsed="false">
      <c r="B32" s="9" t="s">
        <v>30</v>
      </c>
      <c r="C32" s="9"/>
      <c r="D32" s="9"/>
      <c r="E32" s="9"/>
      <c r="F32" s="9"/>
      <c r="G32" s="13" t="str">
        <f aca="false">I6</f>
        <v>New Jersey</v>
      </c>
      <c r="H32" s="13"/>
      <c r="I32" s="13"/>
    </row>
    <row r="33" customFormat="false" ht="15" hidden="false" customHeight="true" outlineLevel="0" collapsed="false">
      <c r="B33" s="14" t="s">
        <v>31</v>
      </c>
      <c r="C33" s="14"/>
      <c r="D33" s="14"/>
      <c r="E33" s="14"/>
      <c r="F33" s="14"/>
      <c r="G33" s="15" t="str">
        <f aca="false">L74</f>
        <v>Progressive brackets (taxed as ordinary income)</v>
      </c>
      <c r="H33" s="15"/>
      <c r="I33" s="15"/>
    </row>
    <row r="34" customFormat="false" ht="15" hidden="false" customHeight="true" outlineLevel="0" collapsed="false">
      <c r="B34" s="9" t="s">
        <v>32</v>
      </c>
      <c r="C34" s="9"/>
      <c r="D34" s="9"/>
      <c r="E34" s="9"/>
      <c r="F34" s="9"/>
      <c r="G34" s="10" t="n">
        <f aca="false">L119</f>
        <v>1783.6</v>
      </c>
      <c r="H34" s="10"/>
      <c r="I34" s="10"/>
    </row>
    <row r="36" customFormat="false" ht="19.5" hidden="false" customHeight="true" outlineLevel="0" collapsed="false">
      <c r="A36" s="3" t="s">
        <v>33</v>
      </c>
      <c r="B36" s="3"/>
      <c r="C36" s="3"/>
      <c r="D36" s="3"/>
      <c r="E36" s="3"/>
      <c r="F36" s="3"/>
      <c r="G36" s="3"/>
      <c r="H36" s="3"/>
      <c r="I36" s="3"/>
    </row>
    <row r="37" customFormat="false" ht="15" hidden="false" customHeight="true" outlineLevel="0" collapsed="false">
      <c r="B37" s="11" t="s">
        <v>34</v>
      </c>
      <c r="C37" s="11"/>
      <c r="D37" s="11"/>
      <c r="E37" s="11"/>
      <c r="F37" s="11"/>
      <c r="G37" s="12" t="n">
        <f aca="false">L120</f>
        <v>7773.6</v>
      </c>
      <c r="H37" s="12"/>
      <c r="I37" s="12"/>
    </row>
    <row r="38" customFormat="false" ht="15" hidden="false" customHeight="true" outlineLevel="0" collapsed="false">
      <c r="B38" s="11" t="s">
        <v>35</v>
      </c>
      <c r="C38" s="11"/>
      <c r="D38" s="11"/>
      <c r="E38" s="11"/>
      <c r="F38" s="11"/>
      <c r="G38" s="16" t="n">
        <f aca="false">L122</f>
        <v>0.242925</v>
      </c>
      <c r="H38" s="16"/>
      <c r="I38" s="16"/>
    </row>
    <row r="39" customFormat="false" ht="15" hidden="false" customHeight="true" outlineLevel="0" collapsed="false">
      <c r="B39" s="11" t="s">
        <v>36</v>
      </c>
      <c r="C39" s="11"/>
      <c r="D39" s="11"/>
      <c r="E39" s="11"/>
      <c r="F39" s="11"/>
      <c r="G39" s="12" t="n">
        <f aca="false">L123</f>
        <v>24226.4</v>
      </c>
      <c r="H39" s="12"/>
      <c r="I39" s="12"/>
    </row>
    <row r="41" customFormat="false" ht="99.75" hidden="false" customHeight="true" outlineLevel="0" collapsed="false">
      <c r="A41" s="17" t="s">
        <v>37</v>
      </c>
      <c r="B41" s="17"/>
      <c r="C41" s="17"/>
      <c r="D41" s="17"/>
      <c r="E41" s="17"/>
      <c r="F41" s="17"/>
      <c r="G41" s="17"/>
      <c r="H41" s="17"/>
      <c r="I41" s="17"/>
    </row>
    <row r="42" customFormat="false" ht="15" hidden="false" customHeight="false" outlineLevel="0" collapsed="false">
      <c r="A42" s="17"/>
      <c r="B42" s="17"/>
      <c r="C42" s="17"/>
      <c r="D42" s="17"/>
      <c r="E42" s="17"/>
      <c r="F42" s="17"/>
      <c r="G42" s="17"/>
      <c r="H42" s="17"/>
      <c r="I42" s="17"/>
    </row>
    <row r="43" customFormat="false" ht="15" hidden="false" customHeight="false" outlineLevel="0" collapsed="false">
      <c r="A43" s="17"/>
      <c r="B43" s="17"/>
      <c r="C43" s="17"/>
      <c r="D43" s="17"/>
      <c r="E43" s="17"/>
      <c r="F43" s="17"/>
      <c r="G43" s="17"/>
      <c r="H43" s="17"/>
      <c r="I43" s="17"/>
    </row>
    <row r="44" customFormat="false" ht="15" hidden="false" customHeight="false" outlineLevel="0" collapsed="false">
      <c r="A44" s="17"/>
      <c r="B44" s="17"/>
      <c r="C44" s="17"/>
      <c r="D44" s="17"/>
      <c r="E44" s="17"/>
      <c r="F44" s="17"/>
      <c r="G44" s="17"/>
      <c r="H44" s="17"/>
      <c r="I44" s="17"/>
    </row>
    <row r="45" customFormat="false" ht="15" hidden="false" customHeight="false" outlineLevel="0" collapsed="false">
      <c r="A45" s="17"/>
      <c r="B45" s="17"/>
      <c r="C45" s="17"/>
      <c r="D45" s="17"/>
      <c r="E45" s="17"/>
      <c r="F45" s="17"/>
      <c r="G45" s="17"/>
      <c r="H45" s="17"/>
      <c r="I45" s="17"/>
    </row>
    <row r="54" customFormat="false" ht="15" hidden="true" customHeight="false" outlineLevel="1" collapsed="false">
      <c r="K54" s="18" t="s">
        <v>38</v>
      </c>
    </row>
    <row r="55" customFormat="false" ht="15" hidden="true" customHeight="false" outlineLevel="1" collapsed="false">
      <c r="K55" s="19" t="s">
        <v>39</v>
      </c>
      <c r="L55" s="20" t="str">
        <f aca="false">IF(F6="Married Filing Jointly","MFJ","Single")</f>
        <v>MFJ</v>
      </c>
    </row>
    <row r="56" customFormat="false" ht="15" hidden="true" customHeight="false" outlineLevel="1" collapsed="false">
      <c r="K56" s="19" t="s">
        <v>40</v>
      </c>
      <c r="L56" s="20" t="str">
        <f aca="false">C6&amp;"|"&amp;L55</f>
        <v>2025|MFJ</v>
      </c>
    </row>
    <row r="57" customFormat="false" ht="15" hidden="true" customHeight="false" outlineLevel="1" collapsed="false">
      <c r="K57" s="19" t="s">
        <v>41</v>
      </c>
      <c r="L57" s="21" t="n">
        <f aca="false">MATCH(L56,'Tax Rates &amp; Assumptions'!C$6:C$1006,0)</f>
        <v>4</v>
      </c>
    </row>
    <row r="58" customFormat="false" ht="15" hidden="true" customHeight="false" outlineLevel="1" collapsed="false">
      <c r="K58" s="19" t="s">
        <v>42</v>
      </c>
      <c r="L58" s="21" t="n">
        <f aca="false">MATCH(L56,'Tax Rates &amp; Assumptions'!C$13:C$1013,0)</f>
        <v>4</v>
      </c>
    </row>
    <row r="59" customFormat="false" ht="15" hidden="true" customHeight="false" outlineLevel="1" collapsed="false">
      <c r="K59" s="19" t="s">
        <v>43</v>
      </c>
      <c r="L59" s="21" t="n">
        <f aca="false">MATCH(L56,'Tax Rates &amp; Assumptions'!C$20:C$1020,0)</f>
        <v>4</v>
      </c>
    </row>
    <row r="60" customFormat="false" ht="15" hidden="true" customHeight="false" outlineLevel="1" collapsed="false">
      <c r="K60" s="19" t="s">
        <v>44</v>
      </c>
      <c r="L60" s="21" t="n">
        <f aca="false">MATCH(L55,'Tax Rates &amp; Assumptions'!A$27:A$1027,0)</f>
        <v>2</v>
      </c>
    </row>
    <row r="61" customFormat="false" ht="15" hidden="true" customHeight="false" outlineLevel="1" collapsed="false">
      <c r="K61" s="19" t="s">
        <v>45</v>
      </c>
      <c r="L61" s="20" t="str">
        <f aca="false">INDEX('Tax Rates &amp; Assumptions'!A$33:A$1033,MATCH(I6,'Tax Rates &amp; Assumptions'!B$33:B$1033,0))</f>
        <v>NJ</v>
      </c>
    </row>
    <row r="62" customFormat="false" ht="15" hidden="true" customHeight="false" outlineLevel="1" collapsed="false">
      <c r="K62" s="19" t="s">
        <v>46</v>
      </c>
      <c r="L62" s="21" t="n">
        <f aca="false">MATCH(L61,'Tax Rates &amp; Assumptions'!A$33:A$1033,0)</f>
        <v>31</v>
      </c>
    </row>
    <row r="63" customFormat="false" ht="15" hidden="true" customHeight="false" outlineLevel="1" collapsed="false">
      <c r="K63" s="19" t="s">
        <v>47</v>
      </c>
      <c r="L63" s="20" t="str">
        <f aca="false">L61&amp;"|"&amp;L55</f>
        <v>NJ|MFJ</v>
      </c>
    </row>
    <row r="64" customFormat="false" ht="15" hidden="true" customHeight="false" outlineLevel="1" collapsed="false">
      <c r="K64" s="19" t="s">
        <v>48</v>
      </c>
      <c r="L64" s="21" t="n">
        <f aca="false">MATCH(L63,'Tax Rates &amp; Assumptions'!C$87:C$1087,0)</f>
        <v>62</v>
      </c>
    </row>
    <row r="65" customFormat="false" ht="15" hidden="true" customHeight="false" outlineLevel="1" collapsed="false">
      <c r="K65" s="19" t="s">
        <v>49</v>
      </c>
      <c r="L65" s="22" t="n">
        <f aca="false">INDEX('Tax Rates &amp; Assumptions'!D$20:D$1020,L59)</f>
        <v>30000</v>
      </c>
    </row>
    <row r="66" customFormat="false" ht="15" hidden="true" customHeight="false" outlineLevel="1" collapsed="false">
      <c r="K66" s="19" t="s">
        <v>50</v>
      </c>
      <c r="L66" s="22" t="n">
        <f aca="false">INDEX('Tax Rates &amp; Assumptions'!B$27:B$1027,L60)</f>
        <v>250000</v>
      </c>
    </row>
    <row r="67" customFormat="false" ht="15" hidden="true" customHeight="false" outlineLevel="1" collapsed="false">
      <c r="K67" s="19" t="s">
        <v>51</v>
      </c>
      <c r="L67" s="23" t="n">
        <f aca="false">INDEX('Tax Rates &amp; Assumptions'!C$27:C$1027,L60)</f>
        <v>0.038</v>
      </c>
    </row>
    <row r="68" customFormat="false" ht="15" hidden="true" customHeight="false" outlineLevel="1" collapsed="false">
      <c r="K68" s="19" t="s">
        <v>52</v>
      </c>
      <c r="L68" s="20" t="str">
        <f aca="false">INDEX('Tax Rates &amp; Assumptions'!C$33:C$1033,L62)</f>
        <v>Bracket</v>
      </c>
    </row>
    <row r="69" customFormat="false" ht="15" hidden="true" customHeight="false" outlineLevel="1" collapsed="false">
      <c r="K69" s="19" t="s">
        <v>53</v>
      </c>
      <c r="L69" s="20" t="n">
        <f aca="false">INDEX('Tax Rates &amp; Assumptions'!E$33:E$1033,L62)</f>
        <v>0</v>
      </c>
    </row>
    <row r="70" customFormat="false" ht="15" hidden="true" customHeight="false" outlineLevel="1" collapsed="false">
      <c r="K70" s="19" t="s">
        <v>54</v>
      </c>
      <c r="L70" s="20" t="n">
        <f aca="false">INDEX('Tax Rates &amp; Assumptions'!F$33:F$1033,L62)</f>
        <v>0</v>
      </c>
    </row>
    <row r="71" customFormat="false" ht="15" hidden="true" customHeight="false" outlineLevel="1" collapsed="false">
      <c r="K71" s="19" t="s">
        <v>55</v>
      </c>
      <c r="L71" s="20" t="n">
        <f aca="false">INDEX('Tax Rates &amp; Assumptions'!G$33:G$1033,L62)</f>
        <v>0</v>
      </c>
    </row>
    <row r="72" customFormat="false" ht="15" hidden="true" customHeight="false" outlineLevel="1" collapsed="false">
      <c r="K72" s="19" t="s">
        <v>56</v>
      </c>
      <c r="L72" s="20" t="n">
        <f aca="false">INDEX('Tax Rates &amp; Assumptions'!H$33:H$1033,L62)</f>
        <v>0</v>
      </c>
    </row>
    <row r="73" customFormat="false" ht="15" hidden="true" customHeight="false" outlineLevel="1" collapsed="false">
      <c r="K73" s="19" t="s">
        <v>57</v>
      </c>
      <c r="L73" s="22" t="n">
        <f aca="false">IF(L55="MFJ",INDEX('Tax Rates &amp; Assumptions'!K$33:K$1033,L62),INDEX('Tax Rates &amp; Assumptions'!J$33:J$1033,L62))</f>
        <v>0</v>
      </c>
    </row>
    <row r="74" customFormat="false" ht="15" hidden="true" customHeight="false" outlineLevel="1" collapsed="false">
      <c r="K74" s="19" t="s">
        <v>58</v>
      </c>
      <c r="L74" s="20" t="str">
        <f aca="false">INDEX('Tax Rates &amp; Assumptions'!L$33:L$1033,L62)</f>
        <v>Progressive brackets (taxed as ordinary income)</v>
      </c>
    </row>
    <row r="75" customFormat="false" ht="15" hidden="true" customHeight="false" outlineLevel="1" collapsed="false">
      <c r="K75" s="18" t="s">
        <v>59</v>
      </c>
    </row>
    <row r="76" customFormat="false" ht="15" hidden="true" customHeight="false" outlineLevel="1" collapsed="false">
      <c r="L76" s="24" t="n">
        <f aca="false">INDEX('Tax Rates &amp; Assumptions'!D$6:D$1006,L57)</f>
        <v>0.1</v>
      </c>
      <c r="M76" s="25" t="n">
        <f aca="false">INDEX('Tax Rates &amp; Assumptions'!E$6:E$1006,L57)</f>
        <v>0</v>
      </c>
      <c r="N76" s="25" t="n">
        <f aca="false">INDEX('Tax Rates &amp; Assumptions'!F$6:F$1006,L57)</f>
        <v>23850</v>
      </c>
    </row>
    <row r="77" customFormat="false" ht="15" hidden="true" customHeight="false" outlineLevel="1" collapsed="false">
      <c r="L77" s="24" t="n">
        <f aca="false">INDEX('Tax Rates &amp; Assumptions'!G$6:G$1006,L57)</f>
        <v>0.12</v>
      </c>
      <c r="M77" s="25" t="n">
        <f aca="false">INDEX('Tax Rates &amp; Assumptions'!H$6:H$1006,L57)</f>
        <v>23850</v>
      </c>
      <c r="N77" s="25" t="n">
        <f aca="false">INDEX('Tax Rates &amp; Assumptions'!I$6:I$1006,L57)</f>
        <v>96950</v>
      </c>
    </row>
    <row r="78" customFormat="false" ht="15" hidden="true" customHeight="false" outlineLevel="1" collapsed="false">
      <c r="L78" s="24" t="n">
        <f aca="false">INDEX('Tax Rates &amp; Assumptions'!J$6:J$1006,L57)</f>
        <v>0.22</v>
      </c>
      <c r="M78" s="25" t="n">
        <f aca="false">INDEX('Tax Rates &amp; Assumptions'!K$6:K$1006,L57)</f>
        <v>96950</v>
      </c>
      <c r="N78" s="25" t="n">
        <f aca="false">INDEX('Tax Rates &amp; Assumptions'!L$6:L$1006,L57)</f>
        <v>206700</v>
      </c>
    </row>
    <row r="79" customFormat="false" ht="15" hidden="true" customHeight="false" outlineLevel="1" collapsed="false">
      <c r="L79" s="24" t="n">
        <f aca="false">INDEX('Tax Rates &amp; Assumptions'!M$6:M$1006,L57)</f>
        <v>0.24</v>
      </c>
      <c r="M79" s="25" t="n">
        <f aca="false">INDEX('Tax Rates &amp; Assumptions'!N$6:N$1006,L57)</f>
        <v>206700</v>
      </c>
      <c r="N79" s="25" t="n">
        <f aca="false">INDEX('Tax Rates &amp; Assumptions'!O$6:O$1006,L57)</f>
        <v>394600</v>
      </c>
    </row>
    <row r="80" customFormat="false" ht="15" hidden="true" customHeight="false" outlineLevel="1" collapsed="false">
      <c r="L80" s="24" t="n">
        <f aca="false">INDEX('Tax Rates &amp; Assumptions'!P$6:P$1006,L57)</f>
        <v>0.32</v>
      </c>
      <c r="M80" s="25" t="n">
        <f aca="false">INDEX('Tax Rates &amp; Assumptions'!Q$6:Q$1006,L57)</f>
        <v>394600</v>
      </c>
      <c r="N80" s="25" t="n">
        <f aca="false">INDEX('Tax Rates &amp; Assumptions'!R$6:R$1006,L57)</f>
        <v>501050</v>
      </c>
    </row>
    <row r="81" customFormat="false" ht="15" hidden="true" customHeight="false" outlineLevel="1" collapsed="false">
      <c r="L81" s="24" t="n">
        <f aca="false">INDEX('Tax Rates &amp; Assumptions'!S$6:S$1006,L57)</f>
        <v>0.35</v>
      </c>
      <c r="M81" s="25" t="n">
        <f aca="false">INDEX('Tax Rates &amp; Assumptions'!T$6:T$1006,L57)</f>
        <v>501050</v>
      </c>
      <c r="N81" s="25" t="n">
        <f aca="false">INDEX('Tax Rates &amp; Assumptions'!U$6:U$1006,L57)</f>
        <v>751600</v>
      </c>
    </row>
    <row r="82" customFormat="false" ht="15" hidden="true" customHeight="false" outlineLevel="1" collapsed="false">
      <c r="L82" s="24" t="n">
        <f aca="false">INDEX('Tax Rates &amp; Assumptions'!V$6:V$1006,L57)</f>
        <v>0.37</v>
      </c>
      <c r="M82" s="25" t="n">
        <f aca="false">INDEX('Tax Rates &amp; Assumptions'!W$6:W$1006,L57)</f>
        <v>751600</v>
      </c>
      <c r="N82" s="25" t="n">
        <f aca="false">INDEX('Tax Rates &amp; Assumptions'!X$6:X$1006,L57)</f>
        <v>999999999</v>
      </c>
    </row>
    <row r="83" customFormat="false" ht="15" hidden="true" customHeight="false" outlineLevel="1" collapsed="false">
      <c r="K83" s="18" t="s">
        <v>60</v>
      </c>
    </row>
    <row r="84" customFormat="false" ht="15" hidden="true" customHeight="false" outlineLevel="1" collapsed="false">
      <c r="L84" s="24" t="n">
        <f aca="false">INDEX('Tax Rates &amp; Assumptions'!D$13:D$1013,L58)</f>
        <v>0</v>
      </c>
      <c r="M84" s="25" t="n">
        <f aca="false">INDEX('Tax Rates &amp; Assumptions'!E$13:E$1013,L58)</f>
        <v>0</v>
      </c>
      <c r="N84" s="25" t="n">
        <f aca="false">INDEX('Tax Rates &amp; Assumptions'!F$13:F$1013,L58)</f>
        <v>96700</v>
      </c>
    </row>
    <row r="85" customFormat="false" ht="15" hidden="true" customHeight="false" outlineLevel="1" collapsed="false">
      <c r="L85" s="24" t="n">
        <f aca="false">INDEX('Tax Rates &amp; Assumptions'!G$13:G$1013,L58)</f>
        <v>0.15</v>
      </c>
      <c r="M85" s="25" t="n">
        <f aca="false">INDEX('Tax Rates &amp; Assumptions'!H$13:H$1013,L58)</f>
        <v>96700</v>
      </c>
      <c r="N85" s="25" t="n">
        <f aca="false">INDEX('Tax Rates &amp; Assumptions'!I$13:I$1013,L58)</f>
        <v>600050</v>
      </c>
    </row>
    <row r="86" customFormat="false" ht="15" hidden="true" customHeight="false" outlineLevel="1" collapsed="false">
      <c r="L86" s="24" t="n">
        <f aca="false">INDEX('Tax Rates &amp; Assumptions'!J$13:J$1013,L58)</f>
        <v>0.2</v>
      </c>
      <c r="M86" s="25" t="n">
        <f aca="false">INDEX('Tax Rates &amp; Assumptions'!K$13:K$1013,L58)</f>
        <v>600050</v>
      </c>
      <c r="N86" s="25" t="n">
        <f aca="false">INDEX('Tax Rates &amp; Assumptions'!L$13:L$1013,L58)</f>
        <v>999999999</v>
      </c>
    </row>
    <row r="87" customFormat="false" ht="15" hidden="true" customHeight="false" outlineLevel="1" collapsed="false">
      <c r="K87" s="18" t="s">
        <v>61</v>
      </c>
    </row>
    <row r="88" customFormat="false" ht="15" hidden="true" customHeight="false" outlineLevel="1" collapsed="false">
      <c r="L88" s="24" t="n">
        <f aca="false">INDEX('Tax Rates &amp; Assumptions'!D$87:D$1087,L64)</f>
        <v>0.014</v>
      </c>
      <c r="M88" s="25" t="n">
        <f aca="false">INDEX('Tax Rates &amp; Assumptions'!E$87:E$1087,L64)</f>
        <v>0</v>
      </c>
      <c r="N88" s="25" t="n">
        <f aca="false">INDEX('Tax Rates &amp; Assumptions'!F$87:F$1087,L64)</f>
        <v>20000</v>
      </c>
    </row>
    <row r="89" customFormat="false" ht="15" hidden="true" customHeight="false" outlineLevel="1" collapsed="false">
      <c r="L89" s="24" t="n">
        <f aca="false">INDEX('Tax Rates &amp; Assumptions'!G$87:G$1087,L64)</f>
        <v>0.0175</v>
      </c>
      <c r="M89" s="25" t="n">
        <f aca="false">INDEX('Tax Rates &amp; Assumptions'!H$87:H$1087,L64)</f>
        <v>20000</v>
      </c>
      <c r="N89" s="25" t="n">
        <f aca="false">INDEX('Tax Rates &amp; Assumptions'!I$87:I$1087,L64)</f>
        <v>50000</v>
      </c>
    </row>
    <row r="90" customFormat="false" ht="15" hidden="true" customHeight="false" outlineLevel="1" collapsed="false">
      <c r="L90" s="24" t="n">
        <f aca="false">INDEX('Tax Rates &amp; Assumptions'!J$87:J$1087,L64)</f>
        <v>0.0245</v>
      </c>
      <c r="M90" s="25" t="n">
        <f aca="false">INDEX('Tax Rates &amp; Assumptions'!K$87:K$1087,L64)</f>
        <v>50000</v>
      </c>
      <c r="N90" s="25" t="n">
        <f aca="false">INDEX('Tax Rates &amp; Assumptions'!L$87:L$1087,L64)</f>
        <v>70000</v>
      </c>
    </row>
    <row r="91" customFormat="false" ht="15" hidden="true" customHeight="false" outlineLevel="1" collapsed="false">
      <c r="L91" s="24" t="n">
        <f aca="false">INDEX('Tax Rates &amp; Assumptions'!M$87:M$1087,L64)</f>
        <v>0.035</v>
      </c>
      <c r="M91" s="25" t="n">
        <f aca="false">INDEX('Tax Rates &amp; Assumptions'!N$87:N$1087,L64)</f>
        <v>70000</v>
      </c>
      <c r="N91" s="25" t="n">
        <f aca="false">INDEX('Tax Rates &amp; Assumptions'!O$87:O$1087,L64)</f>
        <v>80000</v>
      </c>
    </row>
    <row r="92" customFormat="false" ht="15" hidden="true" customHeight="false" outlineLevel="1" collapsed="false">
      <c r="L92" s="24" t="n">
        <f aca="false">INDEX('Tax Rates &amp; Assumptions'!P$87:P$1087,L64)</f>
        <v>0.05525</v>
      </c>
      <c r="M92" s="25" t="n">
        <f aca="false">INDEX('Tax Rates &amp; Assumptions'!Q$87:Q$1087,L64)</f>
        <v>80000</v>
      </c>
      <c r="N92" s="25" t="n">
        <f aca="false">INDEX('Tax Rates &amp; Assumptions'!R$87:R$1087,L64)</f>
        <v>150000</v>
      </c>
    </row>
    <row r="93" customFormat="false" ht="15" hidden="true" customHeight="false" outlineLevel="1" collapsed="false">
      <c r="L93" s="24" t="n">
        <f aca="false">INDEX('Tax Rates &amp; Assumptions'!S$87:S$1087,L64)</f>
        <v>0.0637</v>
      </c>
      <c r="M93" s="25" t="n">
        <f aca="false">INDEX('Tax Rates &amp; Assumptions'!T$87:T$1087,L64)</f>
        <v>150000</v>
      </c>
      <c r="N93" s="25" t="n">
        <f aca="false">INDEX('Tax Rates &amp; Assumptions'!U$87:U$1087,L64)</f>
        <v>500000</v>
      </c>
    </row>
    <row r="94" customFormat="false" ht="15" hidden="true" customHeight="false" outlineLevel="1" collapsed="false">
      <c r="L94" s="24" t="n">
        <f aca="false">INDEX('Tax Rates &amp; Assumptions'!V$87:V$1087,L64)</f>
        <v>0.0897</v>
      </c>
      <c r="M94" s="25" t="n">
        <f aca="false">INDEX('Tax Rates &amp; Assumptions'!W$87:W$1087,L64)</f>
        <v>500000</v>
      </c>
      <c r="N94" s="25" t="n">
        <f aca="false">INDEX('Tax Rates &amp; Assumptions'!X$87:X$1087,L64)</f>
        <v>1000000</v>
      </c>
    </row>
    <row r="95" customFormat="false" ht="15" hidden="true" customHeight="false" outlineLevel="1" collapsed="false">
      <c r="L95" s="24" t="n">
        <f aca="false">INDEX('Tax Rates &amp; Assumptions'!Y$87:Y$1087,L64)</f>
        <v>0.1075</v>
      </c>
      <c r="M95" s="25" t="n">
        <f aca="false">INDEX('Tax Rates &amp; Assumptions'!Z$87:Z$1087,L64)</f>
        <v>1000000</v>
      </c>
      <c r="N95" s="25" t="n">
        <f aca="false">INDEX('Tax Rates &amp; Assumptions'!AA$87:AA$1087,L64)</f>
        <v>999999999</v>
      </c>
    </row>
    <row r="96" customFormat="false" ht="15" hidden="true" customHeight="false" outlineLevel="1" collapsed="false">
      <c r="L96" s="24" t="n">
        <f aca="false">INDEX('Tax Rates &amp; Assumptions'!AB$87:AB$1087,L64)</f>
        <v>0</v>
      </c>
      <c r="M96" s="25" t="n">
        <f aca="false">INDEX('Tax Rates &amp; Assumptions'!AC$87:AC$1087,L64)</f>
        <v>999999999</v>
      </c>
      <c r="N96" s="25" t="n">
        <f aca="false">INDEX('Tax Rates &amp; Assumptions'!AD$87:AD$1087,L64)</f>
        <v>999999999</v>
      </c>
    </row>
    <row r="97" customFormat="false" ht="15" hidden="true" customHeight="false" outlineLevel="1" collapsed="false">
      <c r="L97" s="24" t="n">
        <f aca="false">INDEX('Tax Rates &amp; Assumptions'!AE$87:AE$1087,L64)</f>
        <v>0</v>
      </c>
      <c r="M97" s="25" t="n">
        <f aca="false">INDEX('Tax Rates &amp; Assumptions'!AF$87:AF$1087,L64)</f>
        <v>999999999</v>
      </c>
      <c r="N97" s="25" t="n">
        <f aca="false">INDEX('Tax Rates &amp; Assumptions'!AG$87:AG$1087,L64)</f>
        <v>999999999</v>
      </c>
    </row>
    <row r="98" customFormat="false" ht="15" hidden="true" customHeight="false" outlineLevel="1" collapsed="false">
      <c r="K98" s="18" t="s">
        <v>62</v>
      </c>
    </row>
    <row r="99" customFormat="false" ht="15" hidden="true" customHeight="false" outlineLevel="1" collapsed="false">
      <c r="K99" s="19" t="s">
        <v>63</v>
      </c>
      <c r="L99" s="22" t="n">
        <f aca="false">MAX(0,C8-F8-L65)</f>
        <v>160000</v>
      </c>
    </row>
    <row r="100" customFormat="false" ht="15" hidden="true" customHeight="false" outlineLevel="1" collapsed="false">
      <c r="K100" s="19" t="s">
        <v>64</v>
      </c>
      <c r="L100" s="22" t="n">
        <f aca="false">(I8+F10+I10)</f>
        <v>17000</v>
      </c>
    </row>
    <row r="101" customFormat="false" ht="15" hidden="true" customHeight="false" outlineLevel="1" collapsed="false">
      <c r="K101" s="19" t="s">
        <v>65</v>
      </c>
      <c r="L101" s="22" t="n">
        <f aca="false">MAX(0,L99+L100)</f>
        <v>177000</v>
      </c>
    </row>
    <row r="102" customFormat="false" ht="15" hidden="true" customHeight="false" outlineLevel="1" collapsed="false">
      <c r="K102" s="19" t="s">
        <v>66</v>
      </c>
      <c r="L102" s="22" t="n">
        <f aca="false">SUMPRODUCT($L$76:$L$82*(($N$76:$N$82-($N$76:$N$82-L99)*(($N$76:$N$82-L99)&gt;0))-$M$76:$M$82)*((($N$76:$N$82-($N$76:$N$82-L99)*(($N$76:$N$82-L99)&gt;0))-$M$76:$M$82)&gt;0))</f>
        <v>25028</v>
      </c>
    </row>
    <row r="103" customFormat="false" ht="15" hidden="true" customHeight="false" outlineLevel="1" collapsed="false">
      <c r="K103" s="19" t="s">
        <v>67</v>
      </c>
      <c r="L103" s="22" t="n">
        <f aca="false">SUMPRODUCT($L$76:$L$82*(($N$76:$N$82-($N$76:$N$82-L101)*(($N$76:$N$82-L101)&gt;0))-$M$76:$M$82)*((($N$76:$N$82-($N$76:$N$82-L101)*(($N$76:$N$82-L101)&gt;0))-$M$76:$M$82)&gt;0))</f>
        <v>28768</v>
      </c>
    </row>
    <row r="104" customFormat="false" ht="15" hidden="true" customHeight="false" outlineLevel="1" collapsed="false">
      <c r="K104" s="19" t="s">
        <v>68</v>
      </c>
      <c r="L104" s="22" t="n">
        <f aca="false">(L103-L102)</f>
        <v>3740</v>
      </c>
    </row>
    <row r="105" customFormat="false" ht="15" hidden="true" customHeight="false" outlineLevel="1" collapsed="false">
      <c r="K105" s="19" t="s">
        <v>69</v>
      </c>
      <c r="L105" s="22" t="n">
        <f aca="false">SUMPRODUCT($L$84:$L$86*(($N$84:$N$86-($N$84:$N$86-L101)*(($N$84:$N$86-L101)&gt;0))-$M$84:$M$86)*((($N$84:$N$86-($N$84:$N$86-L101)*(($N$84:$N$86-L101)&gt;0))-$M$84:$M$86)&gt;0))</f>
        <v>12045</v>
      </c>
    </row>
    <row r="106" customFormat="false" ht="15" hidden="true" customHeight="false" outlineLevel="1" collapsed="false">
      <c r="K106" s="19" t="s">
        <v>70</v>
      </c>
      <c r="L106" s="22" t="n">
        <f aca="false">SUMPRODUCT($L$84:$L$86*(($N$84:$N$86-($N$84:$N$86-(L101+C10))*(($N$84:$N$86-(L101+C10))&gt;0))-$M$84:$M$86)*((($N$84:$N$86-($N$84:$N$86-(L101+C10))*(($N$84:$N$86-(L101+C10))&gt;0))-$M$84:$M$86)&gt;0))</f>
        <v>14295</v>
      </c>
    </row>
    <row r="107" customFormat="false" ht="15" hidden="true" customHeight="false" outlineLevel="1" collapsed="false">
      <c r="K107" s="19" t="s">
        <v>71</v>
      </c>
      <c r="L107" s="22" t="n">
        <f aca="false">(L106-L105)</f>
        <v>2250</v>
      </c>
    </row>
    <row r="108" customFormat="false" ht="15" hidden="true" customHeight="false" outlineLevel="1" collapsed="false">
      <c r="K108" s="19" t="s">
        <v>72</v>
      </c>
      <c r="L108" s="22" t="n">
        <f aca="false">L100+C10</f>
        <v>32000</v>
      </c>
    </row>
    <row r="109" customFormat="false" ht="15" hidden="true" customHeight="false" outlineLevel="1" collapsed="false">
      <c r="K109" s="19" t="s">
        <v>73</v>
      </c>
      <c r="L109" s="22" t="n">
        <f aca="false">(L99+L65+L108)</f>
        <v>222000</v>
      </c>
    </row>
    <row r="110" customFormat="false" ht="15" hidden="true" customHeight="false" outlineLevel="1" collapsed="false">
      <c r="K110" s="19" t="s">
        <v>74</v>
      </c>
      <c r="L110" s="22" t="n">
        <f aca="false">L67*MIN(L108,MAX(0,L109-L66))</f>
        <v>0</v>
      </c>
    </row>
    <row r="111" customFormat="false" ht="15" hidden="true" customHeight="false" outlineLevel="1" collapsed="false">
      <c r="K111" s="19" t="s">
        <v>75</v>
      </c>
      <c r="L111" s="22" t="n">
        <f aca="false">(L104+L107+L110)</f>
        <v>5990</v>
      </c>
    </row>
    <row r="112" customFormat="false" ht="15" hidden="true" customHeight="false" outlineLevel="1" collapsed="false">
      <c r="K112" s="18" t="s">
        <v>76</v>
      </c>
    </row>
    <row r="113" customFormat="false" ht="15" hidden="true" customHeight="false" outlineLevel="1" collapsed="false">
      <c r="K113" s="19" t="s">
        <v>77</v>
      </c>
      <c r="L113" s="22" t="n">
        <f aca="false">MAX(0,L99-L73)</f>
        <v>160000</v>
      </c>
    </row>
    <row r="114" customFormat="false" ht="15" hidden="true" customHeight="false" outlineLevel="1" collapsed="false">
      <c r="K114" s="19" t="s">
        <v>78</v>
      </c>
      <c r="L114" s="22" t="n">
        <f aca="false">MAX(0,L99+I8+F10+C10+F12-L73)</f>
        <v>188000</v>
      </c>
    </row>
    <row r="115" customFormat="false" ht="15" hidden="true" customHeight="false" outlineLevel="1" collapsed="false">
      <c r="K115" s="19" t="s">
        <v>79</v>
      </c>
      <c r="L115" s="22" t="n">
        <f aca="false">SUMPRODUCT($L$88:$L$97*(($N$88:$N$97-($N$88:$N$97-L114)*(($N$88:$N$97-L114)&gt;0))-$M$88:$M$97)*((($N$88:$N$97-($N$88:$N$97-L114)*(($N$88:$N$97-L114)&gt;0))-$M$88:$M$97)&gt;0))-SUMPRODUCT($L$88:$L$97*(($N$88:$N$97-($N$88:$N$97-L113)*(($N$88:$N$97-L113)&gt;0))-$M$88:$M$97)*((($N$88:$N$97-($N$88:$N$97-L113)*(($N$88:$N$97-L113)&gt;0))-$M$88:$M$97)&gt;0))</f>
        <v>1783.6</v>
      </c>
    </row>
    <row r="116" customFormat="false" ht="15" hidden="true" customHeight="false" outlineLevel="1" collapsed="false">
      <c r="K116" s="19" t="s">
        <v>80</v>
      </c>
      <c r="L116" s="22" t="n">
        <f aca="false">(L113+I8+F10+C10+F12)</f>
        <v>188000</v>
      </c>
    </row>
    <row r="117" customFormat="false" ht="15" hidden="true" customHeight="false" outlineLevel="1" collapsed="false">
      <c r="K117" s="19" t="s">
        <v>81</v>
      </c>
      <c r="L117" s="22" t="n">
        <f aca="false">(L72*MAX(0,L116-L71))-(L72*MAX(0,L113-L71))</f>
        <v>0</v>
      </c>
    </row>
    <row r="118" customFormat="false" ht="15" hidden="true" customHeight="false" outlineLevel="1" collapsed="false">
      <c r="K118" s="19" t="s">
        <v>82</v>
      </c>
      <c r="L118" s="22" t="n">
        <f aca="false">L70*(I8+F10+C10+F12)+L117</f>
        <v>0</v>
      </c>
    </row>
    <row r="119" customFormat="false" ht="15" hidden="true" customHeight="false" outlineLevel="1" collapsed="false">
      <c r="K119" s="19" t="s">
        <v>83</v>
      </c>
      <c r="L119" s="22" t="n">
        <f aca="false">IF(L69="MA_FLAT",L118,L115)</f>
        <v>1783.6</v>
      </c>
    </row>
    <row r="120" customFormat="false" ht="15" hidden="true" customHeight="false" outlineLevel="1" collapsed="false">
      <c r="K120" s="19" t="s">
        <v>84</v>
      </c>
      <c r="L120" s="22" t="n">
        <f aca="false">(L111+L119)</f>
        <v>7773.6</v>
      </c>
    </row>
    <row r="121" customFormat="false" ht="15" hidden="true" customHeight="false" outlineLevel="1" collapsed="false">
      <c r="K121" s="19" t="s">
        <v>85</v>
      </c>
      <c r="L121" s="22" t="n">
        <f aca="false">(I8+C10+F10+I10)</f>
        <v>32000</v>
      </c>
    </row>
    <row r="122" customFormat="false" ht="15" hidden="true" customHeight="false" outlineLevel="1" collapsed="false">
      <c r="K122" s="19" t="s">
        <v>86</v>
      </c>
      <c r="L122" s="23" t="n">
        <f aca="false">IFERROR(L120/L121,0)</f>
        <v>0.242925</v>
      </c>
    </row>
    <row r="123" customFormat="false" ht="15" hidden="true" customHeight="false" outlineLevel="1" collapsed="false">
      <c r="K123" s="19" t="s">
        <v>87</v>
      </c>
      <c r="L123" s="22" t="n">
        <f aca="false">(L121+C12+F12-L120)</f>
        <v>24226.4</v>
      </c>
    </row>
  </sheetData>
  <mergeCells count="49">
    <mergeCell ref="A1:I1"/>
    <mergeCell ref="A2:I2"/>
    <mergeCell ref="A4:I4"/>
    <mergeCell ref="B7:D7"/>
    <mergeCell ref="B11:D11"/>
    <mergeCell ref="E11:F11"/>
    <mergeCell ref="A14:I14"/>
    <mergeCell ref="B15:F15"/>
    <mergeCell ref="G15:I15"/>
    <mergeCell ref="B16:F16"/>
    <mergeCell ref="G16:I16"/>
    <mergeCell ref="B17:F17"/>
    <mergeCell ref="G17:I17"/>
    <mergeCell ref="B18:F18"/>
    <mergeCell ref="G18:I18"/>
    <mergeCell ref="B19:F19"/>
    <mergeCell ref="G19:I19"/>
    <mergeCell ref="B20:F20"/>
    <mergeCell ref="G20:I20"/>
    <mergeCell ref="B21:F21"/>
    <mergeCell ref="G21:I21"/>
    <mergeCell ref="B22:F22"/>
    <mergeCell ref="G22:I22"/>
    <mergeCell ref="B23:F23"/>
    <mergeCell ref="G23:I23"/>
    <mergeCell ref="A25:I25"/>
    <mergeCell ref="B26:F26"/>
    <mergeCell ref="G26:I26"/>
    <mergeCell ref="B27:F27"/>
    <mergeCell ref="G27:I27"/>
    <mergeCell ref="B28:F28"/>
    <mergeCell ref="G28:I28"/>
    <mergeCell ref="B29:F29"/>
    <mergeCell ref="G29:I29"/>
    <mergeCell ref="A31:I31"/>
    <mergeCell ref="B32:F32"/>
    <mergeCell ref="G32:I32"/>
    <mergeCell ref="B33:F33"/>
    <mergeCell ref="G33:I33"/>
    <mergeCell ref="B34:F34"/>
    <mergeCell ref="G34:I34"/>
    <mergeCell ref="A36:I36"/>
    <mergeCell ref="B37:F37"/>
    <mergeCell ref="G37:I37"/>
    <mergeCell ref="B38:F38"/>
    <mergeCell ref="G38:I38"/>
    <mergeCell ref="B39:F39"/>
    <mergeCell ref="G39:I39"/>
    <mergeCell ref="A41:I45"/>
  </mergeCells>
  <dataValidations count="3">
    <dataValidation allowBlank="false" errorStyle="stop" operator="between" showDropDown="false" showErrorMessage="false" showInputMessage="false" sqref="C6" type="list">
      <formula1>"2024,2025"</formula1>
      <formula2>0</formula2>
    </dataValidation>
    <dataValidation allowBlank="false" errorStyle="stop" operator="between" showDropDown="false" showErrorMessage="false" showInputMessage="false" sqref="F6" type="list">
      <formula1>"Single,Married Filing Jointly"</formula1>
      <formula2>0</formula2>
    </dataValidation>
    <dataValidation allowBlank="false" errorStyle="stop" operator="between" showDropDown="false" showErrorMessage="false" showInputMessage="false" sqref="I6" type="list">
      <formula1>'Tax Rates &amp; Assumptions'!$B$33:$B$83</formula1>
      <formula2>0</formula2>
    </dataValidation>
  </dataValidations>
  <printOptions headings="false" gridLines="false" gridLinesSet="true" horizontalCentered="false" verticalCentered="false"/>
  <pageMargins left="0.4" right="0.4"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G1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12" min="12" style="0" width="34"/>
    <col collapsed="false" customWidth="true" hidden="false" outlineLevel="0" max="13" min="13" style="0" width="60"/>
  </cols>
  <sheetData>
    <row r="1" customFormat="false" ht="17.35" hidden="false" customHeight="false" outlineLevel="0" collapsed="false">
      <c r="A1" s="26" t="s">
        <v>88</v>
      </c>
      <c r="B1" s="26"/>
      <c r="C1" s="26"/>
      <c r="D1" s="26"/>
      <c r="E1" s="26"/>
      <c r="F1" s="26"/>
      <c r="G1" s="26"/>
      <c r="H1" s="26"/>
      <c r="I1" s="26"/>
      <c r="J1" s="26"/>
      <c r="K1" s="26"/>
      <c r="L1" s="26"/>
      <c r="M1" s="26"/>
      <c r="N1" s="26"/>
    </row>
    <row r="2" customFormat="false" ht="15" hidden="false" customHeight="false" outlineLevel="0" collapsed="false">
      <c r="A2" s="2" t="s">
        <v>89</v>
      </c>
      <c r="B2" s="2"/>
      <c r="C2" s="2"/>
      <c r="D2" s="2"/>
      <c r="E2" s="2"/>
      <c r="F2" s="2"/>
      <c r="G2" s="2"/>
      <c r="H2" s="2"/>
      <c r="I2" s="2"/>
      <c r="J2" s="2"/>
      <c r="K2" s="2"/>
      <c r="L2" s="2"/>
      <c r="M2" s="2"/>
      <c r="N2" s="2"/>
    </row>
    <row r="4" customFormat="false" ht="15" hidden="false" customHeight="false" outlineLevel="0" collapsed="false">
      <c r="A4" s="27" t="s">
        <v>90</v>
      </c>
    </row>
    <row r="5" customFormat="false" ht="15" hidden="false" customHeight="false" outlineLevel="0" collapsed="false">
      <c r="A5" s="18" t="s">
        <v>91</v>
      </c>
      <c r="B5" s="18" t="s">
        <v>4</v>
      </c>
      <c r="C5" s="18" t="s">
        <v>92</v>
      </c>
      <c r="D5" s="18" t="s">
        <v>93</v>
      </c>
      <c r="E5" s="18" t="s">
        <v>94</v>
      </c>
      <c r="F5" s="18" t="s">
        <v>95</v>
      </c>
      <c r="G5" s="18" t="s">
        <v>96</v>
      </c>
      <c r="H5" s="18" t="s">
        <v>97</v>
      </c>
      <c r="I5" s="18" t="s">
        <v>98</v>
      </c>
      <c r="J5" s="18" t="s">
        <v>99</v>
      </c>
      <c r="K5" s="18" t="s">
        <v>100</v>
      </c>
      <c r="L5" s="18" t="s">
        <v>101</v>
      </c>
      <c r="M5" s="18" t="s">
        <v>102</v>
      </c>
      <c r="N5" s="18" t="s">
        <v>103</v>
      </c>
      <c r="O5" s="18" t="s">
        <v>104</v>
      </c>
      <c r="P5" s="18" t="s">
        <v>105</v>
      </c>
      <c r="Q5" s="18" t="s">
        <v>106</v>
      </c>
      <c r="R5" s="18" t="s">
        <v>107</v>
      </c>
      <c r="S5" s="18" t="s">
        <v>108</v>
      </c>
      <c r="T5" s="18" t="s">
        <v>109</v>
      </c>
      <c r="U5" s="18" t="s">
        <v>110</v>
      </c>
      <c r="V5" s="18" t="s">
        <v>111</v>
      </c>
      <c r="W5" s="18" t="s">
        <v>112</v>
      </c>
      <c r="X5" s="18" t="s">
        <v>113</v>
      </c>
    </row>
    <row r="6" customFormat="false" ht="15" hidden="false" customHeight="false" outlineLevel="0" collapsed="false">
      <c r="A6" s="28" t="n">
        <v>2024</v>
      </c>
      <c r="B6" s="28" t="s">
        <v>114</v>
      </c>
      <c r="C6" s="28" t="str">
        <f aca="false">A6&amp;"|"&amp;B6</f>
        <v>2024|Single</v>
      </c>
      <c r="D6" s="29" t="n">
        <v>0.1</v>
      </c>
      <c r="E6" s="30" t="n">
        <v>0</v>
      </c>
      <c r="F6" s="30" t="n">
        <f aca="false">H6</f>
        <v>11600</v>
      </c>
      <c r="G6" s="29" t="n">
        <v>0.12</v>
      </c>
      <c r="H6" s="30" t="n">
        <v>11600</v>
      </c>
      <c r="I6" s="30" t="n">
        <f aca="false">K6</f>
        <v>47150</v>
      </c>
      <c r="J6" s="29" t="n">
        <v>0.22</v>
      </c>
      <c r="K6" s="30" t="n">
        <v>47150</v>
      </c>
      <c r="L6" s="30" t="n">
        <f aca="false">N6</f>
        <v>100525</v>
      </c>
      <c r="M6" s="29" t="n">
        <v>0.24</v>
      </c>
      <c r="N6" s="30" t="n">
        <v>100525</v>
      </c>
      <c r="O6" s="30" t="n">
        <f aca="false">Q6</f>
        <v>191950</v>
      </c>
      <c r="P6" s="29" t="n">
        <v>0.32</v>
      </c>
      <c r="Q6" s="30" t="n">
        <v>191950</v>
      </c>
      <c r="R6" s="30" t="n">
        <f aca="false">T6</f>
        <v>243725</v>
      </c>
      <c r="S6" s="29" t="n">
        <v>0.35</v>
      </c>
      <c r="T6" s="30" t="n">
        <v>243725</v>
      </c>
      <c r="U6" s="30" t="n">
        <f aca="false">W6</f>
        <v>609350</v>
      </c>
      <c r="V6" s="29" t="n">
        <v>0.37</v>
      </c>
      <c r="W6" s="30" t="n">
        <v>609350</v>
      </c>
      <c r="X6" s="30" t="n">
        <v>999999999</v>
      </c>
    </row>
    <row r="7" customFormat="false" ht="15" hidden="false" customHeight="false" outlineLevel="0" collapsed="false">
      <c r="A7" s="28" t="n">
        <v>2024</v>
      </c>
      <c r="B7" s="28" t="s">
        <v>115</v>
      </c>
      <c r="C7" s="28" t="str">
        <f aca="false">A7&amp;"|"&amp;B7</f>
        <v>2024|MFJ</v>
      </c>
      <c r="D7" s="29" t="n">
        <v>0.1</v>
      </c>
      <c r="E7" s="30" t="n">
        <v>0</v>
      </c>
      <c r="F7" s="30" t="n">
        <f aca="false">H7</f>
        <v>23200</v>
      </c>
      <c r="G7" s="29" t="n">
        <v>0.12</v>
      </c>
      <c r="H7" s="30" t="n">
        <v>23200</v>
      </c>
      <c r="I7" s="30" t="n">
        <f aca="false">K7</f>
        <v>94300</v>
      </c>
      <c r="J7" s="29" t="n">
        <v>0.22</v>
      </c>
      <c r="K7" s="30" t="n">
        <v>94300</v>
      </c>
      <c r="L7" s="30" t="n">
        <f aca="false">N7</f>
        <v>201050</v>
      </c>
      <c r="M7" s="29" t="n">
        <v>0.24</v>
      </c>
      <c r="N7" s="30" t="n">
        <v>201050</v>
      </c>
      <c r="O7" s="30" t="n">
        <f aca="false">Q7</f>
        <v>383900</v>
      </c>
      <c r="P7" s="29" t="n">
        <v>0.32</v>
      </c>
      <c r="Q7" s="30" t="n">
        <v>383900</v>
      </c>
      <c r="R7" s="30" t="n">
        <f aca="false">T7</f>
        <v>487450</v>
      </c>
      <c r="S7" s="29" t="n">
        <v>0.35</v>
      </c>
      <c r="T7" s="30" t="n">
        <v>487450</v>
      </c>
      <c r="U7" s="30" t="n">
        <f aca="false">W7</f>
        <v>731200</v>
      </c>
      <c r="V7" s="29" t="n">
        <v>0.37</v>
      </c>
      <c r="W7" s="30" t="n">
        <v>731200</v>
      </c>
      <c r="X7" s="30" t="n">
        <v>999999999</v>
      </c>
    </row>
    <row r="8" customFormat="false" ht="15" hidden="false" customHeight="false" outlineLevel="0" collapsed="false">
      <c r="A8" s="28" t="n">
        <v>2025</v>
      </c>
      <c r="B8" s="28" t="s">
        <v>114</v>
      </c>
      <c r="C8" s="28" t="str">
        <f aca="false">A8&amp;"|"&amp;B8</f>
        <v>2025|Single</v>
      </c>
      <c r="D8" s="29" t="n">
        <v>0.1</v>
      </c>
      <c r="E8" s="30" t="n">
        <v>0</v>
      </c>
      <c r="F8" s="30" t="n">
        <f aca="false">H8</f>
        <v>11925</v>
      </c>
      <c r="G8" s="29" t="n">
        <v>0.12</v>
      </c>
      <c r="H8" s="30" t="n">
        <v>11925</v>
      </c>
      <c r="I8" s="30" t="n">
        <f aca="false">K8</f>
        <v>48475</v>
      </c>
      <c r="J8" s="29" t="n">
        <v>0.22</v>
      </c>
      <c r="K8" s="30" t="n">
        <v>48475</v>
      </c>
      <c r="L8" s="30" t="n">
        <f aca="false">N8</f>
        <v>103350</v>
      </c>
      <c r="M8" s="29" t="n">
        <v>0.24</v>
      </c>
      <c r="N8" s="30" t="n">
        <v>103350</v>
      </c>
      <c r="O8" s="30" t="n">
        <f aca="false">Q8</f>
        <v>197300</v>
      </c>
      <c r="P8" s="29" t="n">
        <v>0.32</v>
      </c>
      <c r="Q8" s="30" t="n">
        <v>197300</v>
      </c>
      <c r="R8" s="30" t="n">
        <f aca="false">T8</f>
        <v>250525</v>
      </c>
      <c r="S8" s="29" t="n">
        <v>0.35</v>
      </c>
      <c r="T8" s="30" t="n">
        <v>250525</v>
      </c>
      <c r="U8" s="30" t="n">
        <f aca="false">W8</f>
        <v>626350</v>
      </c>
      <c r="V8" s="29" t="n">
        <v>0.37</v>
      </c>
      <c r="W8" s="30" t="n">
        <v>626350</v>
      </c>
      <c r="X8" s="30" t="n">
        <v>999999999</v>
      </c>
    </row>
    <row r="9" customFormat="false" ht="15" hidden="false" customHeight="false" outlineLevel="0" collapsed="false">
      <c r="A9" s="28" t="n">
        <v>2025</v>
      </c>
      <c r="B9" s="28" t="s">
        <v>115</v>
      </c>
      <c r="C9" s="28" t="str">
        <f aca="false">A9&amp;"|"&amp;B9</f>
        <v>2025|MFJ</v>
      </c>
      <c r="D9" s="29" t="n">
        <v>0.1</v>
      </c>
      <c r="E9" s="30" t="n">
        <v>0</v>
      </c>
      <c r="F9" s="30" t="n">
        <f aca="false">H9</f>
        <v>23850</v>
      </c>
      <c r="G9" s="29" t="n">
        <v>0.12</v>
      </c>
      <c r="H9" s="30" t="n">
        <v>23850</v>
      </c>
      <c r="I9" s="30" t="n">
        <f aca="false">K9</f>
        <v>96950</v>
      </c>
      <c r="J9" s="29" t="n">
        <v>0.22</v>
      </c>
      <c r="K9" s="30" t="n">
        <v>96950</v>
      </c>
      <c r="L9" s="30" t="n">
        <f aca="false">N9</f>
        <v>206700</v>
      </c>
      <c r="M9" s="29" t="n">
        <v>0.24</v>
      </c>
      <c r="N9" s="30" t="n">
        <v>206700</v>
      </c>
      <c r="O9" s="30" t="n">
        <f aca="false">Q9</f>
        <v>394600</v>
      </c>
      <c r="P9" s="29" t="n">
        <v>0.32</v>
      </c>
      <c r="Q9" s="30" t="n">
        <v>394600</v>
      </c>
      <c r="R9" s="30" t="n">
        <f aca="false">T9</f>
        <v>501050</v>
      </c>
      <c r="S9" s="29" t="n">
        <v>0.35</v>
      </c>
      <c r="T9" s="30" t="n">
        <v>501050</v>
      </c>
      <c r="U9" s="30" t="n">
        <f aca="false">W9</f>
        <v>751600</v>
      </c>
      <c r="V9" s="29" t="n">
        <v>0.37</v>
      </c>
      <c r="W9" s="30" t="n">
        <v>751600</v>
      </c>
      <c r="X9" s="30" t="n">
        <v>999999999</v>
      </c>
    </row>
    <row r="11" customFormat="false" ht="15" hidden="false" customHeight="false" outlineLevel="0" collapsed="false">
      <c r="A11" s="27" t="s">
        <v>116</v>
      </c>
    </row>
    <row r="12" customFormat="false" ht="15" hidden="false" customHeight="false" outlineLevel="0" collapsed="false">
      <c r="A12" s="18" t="s">
        <v>91</v>
      </c>
      <c r="B12" s="18" t="s">
        <v>4</v>
      </c>
      <c r="C12" s="18" t="s">
        <v>92</v>
      </c>
      <c r="D12" s="18" t="s">
        <v>93</v>
      </c>
      <c r="E12" s="18" t="s">
        <v>94</v>
      </c>
      <c r="F12" s="18" t="s">
        <v>95</v>
      </c>
      <c r="G12" s="18" t="s">
        <v>96</v>
      </c>
      <c r="H12" s="18" t="s">
        <v>97</v>
      </c>
      <c r="I12" s="18" t="s">
        <v>98</v>
      </c>
      <c r="J12" s="18" t="s">
        <v>99</v>
      </c>
      <c r="K12" s="18" t="s">
        <v>100</v>
      </c>
      <c r="L12" s="18" t="s">
        <v>101</v>
      </c>
    </row>
    <row r="13" customFormat="false" ht="15" hidden="false" customHeight="false" outlineLevel="0" collapsed="false">
      <c r="A13" s="28" t="n">
        <v>2024</v>
      </c>
      <c r="B13" s="28" t="s">
        <v>114</v>
      </c>
      <c r="C13" s="28" t="str">
        <f aca="false">A13&amp;"|"&amp;B13</f>
        <v>2024|Single</v>
      </c>
      <c r="D13" s="29" t="n">
        <v>0</v>
      </c>
      <c r="E13" s="30" t="n">
        <v>0</v>
      </c>
      <c r="F13" s="30" t="n">
        <f aca="false">H13</f>
        <v>47025</v>
      </c>
      <c r="G13" s="29" t="n">
        <v>0.15</v>
      </c>
      <c r="H13" s="30" t="n">
        <v>47025</v>
      </c>
      <c r="I13" s="30" t="n">
        <f aca="false">K13</f>
        <v>518900</v>
      </c>
      <c r="J13" s="29" t="n">
        <v>0.2</v>
      </c>
      <c r="K13" s="30" t="n">
        <v>518900</v>
      </c>
      <c r="L13" s="30" t="n">
        <v>999999999</v>
      </c>
    </row>
    <row r="14" customFormat="false" ht="15" hidden="false" customHeight="false" outlineLevel="0" collapsed="false">
      <c r="A14" s="28" t="n">
        <v>2024</v>
      </c>
      <c r="B14" s="28" t="s">
        <v>115</v>
      </c>
      <c r="C14" s="28" t="str">
        <f aca="false">A14&amp;"|"&amp;B14</f>
        <v>2024|MFJ</v>
      </c>
      <c r="D14" s="29" t="n">
        <v>0</v>
      </c>
      <c r="E14" s="30" t="n">
        <v>0</v>
      </c>
      <c r="F14" s="30" t="n">
        <f aca="false">H14</f>
        <v>94050</v>
      </c>
      <c r="G14" s="29" t="n">
        <v>0.15</v>
      </c>
      <c r="H14" s="30" t="n">
        <v>94050</v>
      </c>
      <c r="I14" s="30" t="n">
        <f aca="false">K14</f>
        <v>583750</v>
      </c>
      <c r="J14" s="29" t="n">
        <v>0.2</v>
      </c>
      <c r="K14" s="30" t="n">
        <v>583750</v>
      </c>
      <c r="L14" s="30" t="n">
        <v>999999999</v>
      </c>
    </row>
    <row r="15" customFormat="false" ht="15" hidden="false" customHeight="false" outlineLevel="0" collapsed="false">
      <c r="A15" s="28" t="n">
        <v>2025</v>
      </c>
      <c r="B15" s="28" t="s">
        <v>114</v>
      </c>
      <c r="C15" s="28" t="str">
        <f aca="false">A15&amp;"|"&amp;B15</f>
        <v>2025|Single</v>
      </c>
      <c r="D15" s="29" t="n">
        <v>0</v>
      </c>
      <c r="E15" s="30" t="n">
        <v>0</v>
      </c>
      <c r="F15" s="30" t="n">
        <f aca="false">H15</f>
        <v>48350</v>
      </c>
      <c r="G15" s="29" t="n">
        <v>0.15</v>
      </c>
      <c r="H15" s="30" t="n">
        <v>48350</v>
      </c>
      <c r="I15" s="30" t="n">
        <f aca="false">K15</f>
        <v>533400</v>
      </c>
      <c r="J15" s="29" t="n">
        <v>0.2</v>
      </c>
      <c r="K15" s="30" t="n">
        <v>533400</v>
      </c>
      <c r="L15" s="30" t="n">
        <v>999999999</v>
      </c>
    </row>
    <row r="16" customFormat="false" ht="15" hidden="false" customHeight="false" outlineLevel="0" collapsed="false">
      <c r="A16" s="28" t="n">
        <v>2025</v>
      </c>
      <c r="B16" s="28" t="s">
        <v>115</v>
      </c>
      <c r="C16" s="28" t="str">
        <f aca="false">A16&amp;"|"&amp;B16</f>
        <v>2025|MFJ</v>
      </c>
      <c r="D16" s="29" t="n">
        <v>0</v>
      </c>
      <c r="E16" s="30" t="n">
        <v>0</v>
      </c>
      <c r="F16" s="30" t="n">
        <f aca="false">H16</f>
        <v>96700</v>
      </c>
      <c r="G16" s="29" t="n">
        <v>0.15</v>
      </c>
      <c r="H16" s="30" t="n">
        <v>96700</v>
      </c>
      <c r="I16" s="30" t="n">
        <f aca="false">K16</f>
        <v>600050</v>
      </c>
      <c r="J16" s="29" t="n">
        <v>0.2</v>
      </c>
      <c r="K16" s="30" t="n">
        <v>600050</v>
      </c>
      <c r="L16" s="30" t="n">
        <v>999999999</v>
      </c>
    </row>
    <row r="18" customFormat="false" ht="15" hidden="false" customHeight="false" outlineLevel="0" collapsed="false">
      <c r="A18" s="27" t="s">
        <v>117</v>
      </c>
    </row>
    <row r="19" customFormat="false" ht="15" hidden="false" customHeight="false" outlineLevel="0" collapsed="false">
      <c r="A19" s="18" t="s">
        <v>91</v>
      </c>
      <c r="B19" s="18" t="s">
        <v>4</v>
      </c>
      <c r="C19" s="18" t="s">
        <v>92</v>
      </c>
      <c r="D19" s="18" t="s">
        <v>118</v>
      </c>
    </row>
    <row r="20" customFormat="false" ht="15" hidden="false" customHeight="false" outlineLevel="0" collapsed="false">
      <c r="A20" s="28" t="n">
        <v>2024</v>
      </c>
      <c r="B20" s="28" t="s">
        <v>114</v>
      </c>
      <c r="C20" s="28" t="str">
        <f aca="false">A20&amp;"|"&amp;B20</f>
        <v>2024|Single</v>
      </c>
      <c r="D20" s="31" t="n">
        <v>14600</v>
      </c>
    </row>
    <row r="21" customFormat="false" ht="15" hidden="false" customHeight="false" outlineLevel="0" collapsed="false">
      <c r="A21" s="28" t="n">
        <v>2024</v>
      </c>
      <c r="B21" s="28" t="s">
        <v>115</v>
      </c>
      <c r="C21" s="28" t="str">
        <f aca="false">A21&amp;"|"&amp;B21</f>
        <v>2024|MFJ</v>
      </c>
      <c r="D21" s="31" t="n">
        <v>29200</v>
      </c>
    </row>
    <row r="22" customFormat="false" ht="15" hidden="false" customHeight="false" outlineLevel="0" collapsed="false">
      <c r="A22" s="28" t="n">
        <v>2025</v>
      </c>
      <c r="B22" s="28" t="s">
        <v>114</v>
      </c>
      <c r="C22" s="28" t="str">
        <f aca="false">A22&amp;"|"&amp;B22</f>
        <v>2025|Single</v>
      </c>
      <c r="D22" s="31" t="n">
        <v>15000</v>
      </c>
    </row>
    <row r="23" customFormat="false" ht="15" hidden="false" customHeight="false" outlineLevel="0" collapsed="false">
      <c r="A23" s="28" t="n">
        <v>2025</v>
      </c>
      <c r="B23" s="28" t="s">
        <v>115</v>
      </c>
      <c r="C23" s="28" t="str">
        <f aca="false">A23&amp;"|"&amp;B23</f>
        <v>2025|MFJ</v>
      </c>
      <c r="D23" s="31" t="n">
        <v>30000</v>
      </c>
    </row>
    <row r="25" customFormat="false" ht="15" hidden="false" customHeight="false" outlineLevel="0" collapsed="false">
      <c r="A25" s="27" t="s">
        <v>119</v>
      </c>
    </row>
    <row r="26" customFormat="false" ht="15" hidden="false" customHeight="false" outlineLevel="0" collapsed="false">
      <c r="A26" s="18" t="s">
        <v>4</v>
      </c>
      <c r="B26" s="18" t="s">
        <v>120</v>
      </c>
      <c r="C26" s="18" t="s">
        <v>121</v>
      </c>
    </row>
    <row r="27" customFormat="false" ht="15" hidden="false" customHeight="false" outlineLevel="0" collapsed="false">
      <c r="A27" s="28" t="s">
        <v>114</v>
      </c>
      <c r="B27" s="31" t="n">
        <v>200000</v>
      </c>
      <c r="C27" s="32" t="n">
        <v>0.038</v>
      </c>
    </row>
    <row r="28" customFormat="false" ht="15" hidden="false" customHeight="false" outlineLevel="0" collapsed="false">
      <c r="A28" s="28" t="s">
        <v>115</v>
      </c>
      <c r="B28" s="31" t="n">
        <v>250000</v>
      </c>
      <c r="C28" s="32" t="n">
        <v>0.038</v>
      </c>
    </row>
    <row r="31" customFormat="false" ht="15" hidden="false" customHeight="false" outlineLevel="0" collapsed="false">
      <c r="A31" s="27" t="s">
        <v>122</v>
      </c>
    </row>
    <row r="32" customFormat="false" ht="15" hidden="false" customHeight="false" outlineLevel="0" collapsed="false">
      <c r="A32" s="18" t="s">
        <v>123</v>
      </c>
      <c r="B32" s="18" t="s">
        <v>124</v>
      </c>
      <c r="C32" s="18" t="s">
        <v>125</v>
      </c>
      <c r="D32" s="18" t="s">
        <v>126</v>
      </c>
      <c r="E32" s="18" t="s">
        <v>127</v>
      </c>
      <c r="F32" s="18" t="s">
        <v>128</v>
      </c>
      <c r="G32" s="18" t="s">
        <v>129</v>
      </c>
      <c r="H32" s="18" t="s">
        <v>130</v>
      </c>
      <c r="I32" s="18" t="s">
        <v>131</v>
      </c>
      <c r="J32" s="18" t="s">
        <v>132</v>
      </c>
      <c r="K32" s="18" t="s">
        <v>133</v>
      </c>
      <c r="L32" s="18" t="s">
        <v>134</v>
      </c>
      <c r="M32" s="18" t="s">
        <v>135</v>
      </c>
    </row>
    <row r="33" customFormat="false" ht="15" hidden="false" customHeight="false" outlineLevel="0" collapsed="false">
      <c r="A33" s="28" t="s">
        <v>136</v>
      </c>
      <c r="B33" s="28" t="s">
        <v>137</v>
      </c>
      <c r="C33" s="28" t="s">
        <v>138</v>
      </c>
      <c r="D33" s="29" t="n">
        <v>0</v>
      </c>
      <c r="E33" s="28"/>
      <c r="F33" s="28" t="n">
        <v>0</v>
      </c>
      <c r="G33" s="28" t="n">
        <v>0</v>
      </c>
      <c r="H33" s="28" t="n">
        <v>0</v>
      </c>
      <c r="I33" s="28" t="n">
        <v>0</v>
      </c>
      <c r="J33" s="31" t="n">
        <v>0</v>
      </c>
      <c r="K33" s="31" t="n">
        <v>0</v>
      </c>
      <c r="L33" s="20" t="s">
        <v>139</v>
      </c>
      <c r="M33" s="33" t="s">
        <v>140</v>
      </c>
    </row>
    <row r="34" customFormat="false" ht="15" hidden="false" customHeight="false" outlineLevel="0" collapsed="false">
      <c r="A34" s="28" t="s">
        <v>141</v>
      </c>
      <c r="B34" s="28" t="s">
        <v>142</v>
      </c>
      <c r="C34" s="28" t="s">
        <v>143</v>
      </c>
      <c r="D34" s="29" t="n">
        <v>0</v>
      </c>
      <c r="E34" s="28"/>
      <c r="F34" s="28" t="n">
        <v>0</v>
      </c>
      <c r="G34" s="28" t="n">
        <v>0</v>
      </c>
      <c r="H34" s="28" t="n">
        <v>0</v>
      </c>
      <c r="I34" s="28" t="n">
        <v>0</v>
      </c>
      <c r="J34" s="31" t="n">
        <v>0</v>
      </c>
      <c r="K34" s="31" t="n">
        <v>0</v>
      </c>
      <c r="L34" s="20" t="s">
        <v>144</v>
      </c>
      <c r="M34" s="33" t="s">
        <v>145</v>
      </c>
    </row>
    <row r="35" customFormat="false" ht="15" hidden="false" customHeight="false" outlineLevel="0" collapsed="false">
      <c r="A35" s="28" t="s">
        <v>146</v>
      </c>
      <c r="B35" s="28" t="s">
        <v>147</v>
      </c>
      <c r="C35" s="28" t="s">
        <v>148</v>
      </c>
      <c r="D35" s="29" t="n">
        <v>0.025</v>
      </c>
      <c r="E35" s="28"/>
      <c r="F35" s="28" t="n">
        <v>0</v>
      </c>
      <c r="G35" s="28" t="n">
        <v>0</v>
      </c>
      <c r="H35" s="28" t="n">
        <v>0</v>
      </c>
      <c r="I35" s="28" t="n">
        <v>0</v>
      </c>
      <c r="J35" s="31" t="n">
        <v>14600</v>
      </c>
      <c r="K35" s="31" t="n">
        <v>29200</v>
      </c>
      <c r="L35" s="20" t="s">
        <v>149</v>
      </c>
      <c r="M35" s="33" t="s">
        <v>150</v>
      </c>
    </row>
    <row r="36" customFormat="false" ht="15" hidden="false" customHeight="false" outlineLevel="0" collapsed="false">
      <c r="A36" s="28" t="s">
        <v>151</v>
      </c>
      <c r="B36" s="28" t="s">
        <v>152</v>
      </c>
      <c r="C36" s="28" t="s">
        <v>138</v>
      </c>
      <c r="D36" s="29" t="n">
        <v>0</v>
      </c>
      <c r="E36" s="28"/>
      <c r="F36" s="28" t="n">
        <v>0</v>
      </c>
      <c r="G36" s="28" t="n">
        <v>0</v>
      </c>
      <c r="H36" s="28" t="n">
        <v>0</v>
      </c>
      <c r="I36" s="28" t="n">
        <v>0</v>
      </c>
      <c r="J36" s="31" t="n">
        <v>0</v>
      </c>
      <c r="K36" s="31" t="n">
        <v>0</v>
      </c>
      <c r="L36" s="20" t="s">
        <v>139</v>
      </c>
      <c r="M36" s="33" t="s">
        <v>153</v>
      </c>
    </row>
    <row r="37" customFormat="false" ht="15" hidden="false" customHeight="false" outlineLevel="0" collapsed="false">
      <c r="A37" s="28" t="s">
        <v>154</v>
      </c>
      <c r="B37" s="28" t="s">
        <v>155</v>
      </c>
      <c r="C37" s="28" t="s">
        <v>138</v>
      </c>
      <c r="D37" s="29" t="n">
        <v>0</v>
      </c>
      <c r="E37" s="28"/>
      <c r="F37" s="28" t="n">
        <v>0</v>
      </c>
      <c r="G37" s="28" t="n">
        <v>0</v>
      </c>
      <c r="H37" s="28" t="n">
        <v>0</v>
      </c>
      <c r="I37" s="28" t="n">
        <v>0</v>
      </c>
      <c r="J37" s="31" t="n">
        <v>5540</v>
      </c>
      <c r="K37" s="31" t="n">
        <v>11080</v>
      </c>
      <c r="L37" s="20" t="s">
        <v>139</v>
      </c>
      <c r="M37" s="33" t="s">
        <v>156</v>
      </c>
    </row>
    <row r="38" customFormat="false" ht="15" hidden="false" customHeight="false" outlineLevel="0" collapsed="false">
      <c r="A38" s="28" t="s">
        <v>157</v>
      </c>
      <c r="B38" s="28" t="s">
        <v>158</v>
      </c>
      <c r="C38" s="28" t="s">
        <v>148</v>
      </c>
      <c r="D38" s="29" t="n">
        <v>0.0425</v>
      </c>
      <c r="E38" s="28"/>
      <c r="F38" s="28" t="n">
        <v>0</v>
      </c>
      <c r="G38" s="28" t="n">
        <v>0</v>
      </c>
      <c r="H38" s="28" t="n">
        <v>0</v>
      </c>
      <c r="I38" s="28" t="n">
        <v>0</v>
      </c>
      <c r="J38" s="31" t="n">
        <v>0</v>
      </c>
      <c r="K38" s="31" t="n">
        <v>0</v>
      </c>
      <c r="L38" s="20" t="s">
        <v>159</v>
      </c>
      <c r="M38" s="33" t="s">
        <v>160</v>
      </c>
    </row>
    <row r="39" customFormat="false" ht="15" hidden="false" customHeight="false" outlineLevel="0" collapsed="false">
      <c r="A39" s="28" t="s">
        <v>161</v>
      </c>
      <c r="B39" s="28" t="s">
        <v>162</v>
      </c>
      <c r="C39" s="28" t="s">
        <v>138</v>
      </c>
      <c r="D39" s="29" t="n">
        <v>0</v>
      </c>
      <c r="E39" s="28"/>
      <c r="F39" s="28" t="n">
        <v>0</v>
      </c>
      <c r="G39" s="28" t="n">
        <v>0</v>
      </c>
      <c r="H39" s="28" t="n">
        <v>0</v>
      </c>
      <c r="I39" s="28" t="n">
        <v>0</v>
      </c>
      <c r="J39" s="31" t="n">
        <v>0</v>
      </c>
      <c r="K39" s="31" t="n">
        <v>0</v>
      </c>
      <c r="L39" s="20" t="s">
        <v>139</v>
      </c>
      <c r="M39" s="33" t="s">
        <v>163</v>
      </c>
    </row>
    <row r="40" customFormat="false" ht="15" hidden="false" customHeight="false" outlineLevel="0" collapsed="false">
      <c r="A40" s="28" t="s">
        <v>164</v>
      </c>
      <c r="B40" s="28" t="s">
        <v>165</v>
      </c>
      <c r="C40" s="28" t="s">
        <v>138</v>
      </c>
      <c r="D40" s="29" t="n">
        <v>0</v>
      </c>
      <c r="E40" s="28"/>
      <c r="F40" s="28" t="n">
        <v>0</v>
      </c>
      <c r="G40" s="28" t="n">
        <v>0</v>
      </c>
      <c r="H40" s="28" t="n">
        <v>0</v>
      </c>
      <c r="I40" s="28" t="n">
        <v>0</v>
      </c>
      <c r="J40" s="31" t="n">
        <v>0</v>
      </c>
      <c r="K40" s="31" t="n">
        <v>0</v>
      </c>
      <c r="L40" s="20" t="s">
        <v>139</v>
      </c>
      <c r="M40" s="33" t="s">
        <v>166</v>
      </c>
    </row>
    <row r="41" customFormat="false" ht="15" hidden="false" customHeight="false" outlineLevel="0" collapsed="false">
      <c r="A41" s="28" t="s">
        <v>167</v>
      </c>
      <c r="B41" s="28" t="s">
        <v>168</v>
      </c>
      <c r="C41" s="28" t="s">
        <v>138</v>
      </c>
      <c r="D41" s="29" t="n">
        <v>0</v>
      </c>
      <c r="E41" s="28"/>
      <c r="F41" s="28" t="n">
        <v>0</v>
      </c>
      <c r="G41" s="28" t="n">
        <v>0</v>
      </c>
      <c r="H41" s="28" t="n">
        <v>0</v>
      </c>
      <c r="I41" s="28" t="n">
        <v>0</v>
      </c>
      <c r="J41" s="31" t="n">
        <v>14600</v>
      </c>
      <c r="K41" s="31" t="n">
        <v>29200</v>
      </c>
      <c r="L41" s="20" t="s">
        <v>139</v>
      </c>
      <c r="M41" s="33" t="s">
        <v>166</v>
      </c>
    </row>
    <row r="42" customFormat="false" ht="15" hidden="false" customHeight="false" outlineLevel="0" collapsed="false">
      <c r="A42" s="28" t="s">
        <v>169</v>
      </c>
      <c r="B42" s="28" t="s">
        <v>170</v>
      </c>
      <c r="C42" s="28" t="s">
        <v>143</v>
      </c>
      <c r="D42" s="29" t="n">
        <v>0</v>
      </c>
      <c r="E42" s="28"/>
      <c r="F42" s="28" t="n">
        <v>0</v>
      </c>
      <c r="G42" s="28" t="n">
        <v>0</v>
      </c>
      <c r="H42" s="28" t="n">
        <v>0</v>
      </c>
      <c r="I42" s="28" t="n">
        <v>0</v>
      </c>
      <c r="J42" s="31" t="n">
        <v>0</v>
      </c>
      <c r="K42" s="31" t="n">
        <v>0</v>
      </c>
      <c r="L42" s="20" t="s">
        <v>144</v>
      </c>
      <c r="M42" s="33" t="s">
        <v>145</v>
      </c>
    </row>
    <row r="43" customFormat="false" ht="15" hidden="false" customHeight="false" outlineLevel="0" collapsed="false">
      <c r="A43" s="28" t="s">
        <v>171</v>
      </c>
      <c r="B43" s="28" t="s">
        <v>172</v>
      </c>
      <c r="C43" s="28" t="s">
        <v>148</v>
      </c>
      <c r="D43" s="29" t="n">
        <v>0.0519</v>
      </c>
      <c r="E43" s="28"/>
      <c r="F43" s="28" t="n">
        <v>0</v>
      </c>
      <c r="G43" s="28" t="n">
        <v>0</v>
      </c>
      <c r="H43" s="28" t="n">
        <v>0</v>
      </c>
      <c r="I43" s="28" t="n">
        <v>0</v>
      </c>
      <c r="J43" s="31" t="n">
        <v>12000</v>
      </c>
      <c r="K43" s="31" t="n">
        <v>24000</v>
      </c>
      <c r="L43" s="20" t="s">
        <v>173</v>
      </c>
      <c r="M43" s="33" t="s">
        <v>174</v>
      </c>
    </row>
    <row r="44" customFormat="false" ht="15" hidden="false" customHeight="false" outlineLevel="0" collapsed="false">
      <c r="A44" s="28" t="s">
        <v>175</v>
      </c>
      <c r="B44" s="28" t="s">
        <v>176</v>
      </c>
      <c r="C44" s="28" t="s">
        <v>138</v>
      </c>
      <c r="D44" s="29" t="n">
        <v>0</v>
      </c>
      <c r="E44" s="28"/>
      <c r="F44" s="28" t="n">
        <v>0</v>
      </c>
      <c r="G44" s="28" t="n">
        <v>0</v>
      </c>
      <c r="H44" s="28" t="n">
        <v>0</v>
      </c>
      <c r="I44" s="28" t="n">
        <v>0</v>
      </c>
      <c r="J44" s="31" t="n">
        <v>2200</v>
      </c>
      <c r="K44" s="31" t="n">
        <v>4400</v>
      </c>
      <c r="L44" s="20" t="s">
        <v>139</v>
      </c>
      <c r="M44" s="33" t="s">
        <v>177</v>
      </c>
    </row>
    <row r="45" customFormat="false" ht="15" hidden="false" customHeight="false" outlineLevel="0" collapsed="false">
      <c r="A45" s="28" t="s">
        <v>178</v>
      </c>
      <c r="B45" s="28" t="s">
        <v>179</v>
      </c>
      <c r="C45" s="28" t="s">
        <v>148</v>
      </c>
      <c r="D45" s="29" t="n">
        <v>0.053</v>
      </c>
      <c r="E45" s="28"/>
      <c r="F45" s="28" t="n">
        <v>0</v>
      </c>
      <c r="G45" s="28" t="n">
        <v>0</v>
      </c>
      <c r="H45" s="28" t="n">
        <v>0</v>
      </c>
      <c r="I45" s="28" t="n">
        <v>0</v>
      </c>
      <c r="J45" s="31" t="n">
        <v>0</v>
      </c>
      <c r="K45" s="31" t="n">
        <v>0</v>
      </c>
      <c r="L45" s="20" t="s">
        <v>180</v>
      </c>
      <c r="M45" s="33" t="s">
        <v>181</v>
      </c>
    </row>
    <row r="46" customFormat="false" ht="15" hidden="false" customHeight="false" outlineLevel="0" collapsed="false">
      <c r="A46" s="28" t="s">
        <v>182</v>
      </c>
      <c r="B46" s="28" t="s">
        <v>183</v>
      </c>
      <c r="C46" s="28" t="s">
        <v>148</v>
      </c>
      <c r="D46" s="29" t="n">
        <v>0.0495</v>
      </c>
      <c r="E46" s="28"/>
      <c r="F46" s="28" t="n">
        <v>0</v>
      </c>
      <c r="G46" s="28" t="n">
        <v>0</v>
      </c>
      <c r="H46" s="28" t="n">
        <v>0</v>
      </c>
      <c r="I46" s="28" t="n">
        <v>0</v>
      </c>
      <c r="J46" s="31" t="n">
        <v>0</v>
      </c>
      <c r="K46" s="31" t="n">
        <v>0</v>
      </c>
      <c r="L46" s="20" t="s">
        <v>184</v>
      </c>
      <c r="M46" s="33" t="s">
        <v>185</v>
      </c>
    </row>
    <row r="47" customFormat="false" ht="15" hidden="false" customHeight="false" outlineLevel="0" collapsed="false">
      <c r="A47" s="28" t="s">
        <v>186</v>
      </c>
      <c r="B47" s="28" t="s">
        <v>187</v>
      </c>
      <c r="C47" s="28" t="s">
        <v>148</v>
      </c>
      <c r="D47" s="29" t="n">
        <v>0.03</v>
      </c>
      <c r="E47" s="28"/>
      <c r="F47" s="28" t="n">
        <v>0</v>
      </c>
      <c r="G47" s="28" t="n">
        <v>0</v>
      </c>
      <c r="H47" s="28" t="n">
        <v>0</v>
      </c>
      <c r="I47" s="28" t="n">
        <v>0</v>
      </c>
      <c r="J47" s="31" t="n">
        <v>0</v>
      </c>
      <c r="K47" s="31" t="n">
        <v>0</v>
      </c>
      <c r="L47" s="20" t="s">
        <v>188</v>
      </c>
      <c r="M47" s="33" t="s">
        <v>189</v>
      </c>
    </row>
    <row r="48" customFormat="false" ht="15" hidden="false" customHeight="false" outlineLevel="0" collapsed="false">
      <c r="A48" s="28" t="s">
        <v>190</v>
      </c>
      <c r="B48" s="28" t="s">
        <v>191</v>
      </c>
      <c r="C48" s="28" t="s">
        <v>148</v>
      </c>
      <c r="D48" s="29" t="n">
        <v>0.038</v>
      </c>
      <c r="E48" s="28"/>
      <c r="F48" s="28" t="n">
        <v>0</v>
      </c>
      <c r="G48" s="28" t="n">
        <v>0</v>
      </c>
      <c r="H48" s="28" t="n">
        <v>0</v>
      </c>
      <c r="I48" s="28" t="n">
        <v>0</v>
      </c>
      <c r="J48" s="31" t="n">
        <v>0</v>
      </c>
      <c r="K48" s="31" t="n">
        <v>0</v>
      </c>
      <c r="L48" s="20" t="s">
        <v>192</v>
      </c>
      <c r="M48" s="33" t="s">
        <v>193</v>
      </c>
    </row>
    <row r="49" customFormat="false" ht="15" hidden="false" customHeight="false" outlineLevel="0" collapsed="false">
      <c r="A49" s="28" t="s">
        <v>194</v>
      </c>
      <c r="B49" s="28" t="s">
        <v>195</v>
      </c>
      <c r="C49" s="28" t="s">
        <v>138</v>
      </c>
      <c r="D49" s="29" t="n">
        <v>0</v>
      </c>
      <c r="E49" s="28"/>
      <c r="F49" s="28" t="n">
        <v>0</v>
      </c>
      <c r="G49" s="28" t="n">
        <v>0</v>
      </c>
      <c r="H49" s="28" t="n">
        <v>0</v>
      </c>
      <c r="I49" s="28" t="n">
        <v>0</v>
      </c>
      <c r="J49" s="31" t="n">
        <v>0</v>
      </c>
      <c r="K49" s="31" t="n">
        <v>0</v>
      </c>
      <c r="L49" s="20" t="s">
        <v>139</v>
      </c>
      <c r="M49" s="33" t="s">
        <v>196</v>
      </c>
    </row>
    <row r="50" customFormat="false" ht="15" hidden="false" customHeight="false" outlineLevel="0" collapsed="false">
      <c r="A50" s="28" t="s">
        <v>197</v>
      </c>
      <c r="B50" s="28" t="s">
        <v>198</v>
      </c>
      <c r="C50" s="28" t="s">
        <v>148</v>
      </c>
      <c r="D50" s="29" t="n">
        <v>0.04</v>
      </c>
      <c r="E50" s="28"/>
      <c r="F50" s="28" t="n">
        <v>0</v>
      </c>
      <c r="G50" s="28" t="n">
        <v>0</v>
      </c>
      <c r="H50" s="28" t="n">
        <v>0</v>
      </c>
      <c r="I50" s="28" t="n">
        <v>0</v>
      </c>
      <c r="J50" s="31" t="n">
        <v>3160</v>
      </c>
      <c r="K50" s="31" t="n">
        <v>3160</v>
      </c>
      <c r="L50" s="20" t="s">
        <v>199</v>
      </c>
      <c r="M50" s="33" t="s">
        <v>200</v>
      </c>
    </row>
    <row r="51" customFormat="false" ht="15" hidden="false" customHeight="false" outlineLevel="0" collapsed="false">
      <c r="A51" s="28" t="s">
        <v>201</v>
      </c>
      <c r="B51" s="28" t="s">
        <v>202</v>
      </c>
      <c r="C51" s="28" t="s">
        <v>148</v>
      </c>
      <c r="D51" s="29" t="n">
        <v>0.03</v>
      </c>
      <c r="E51" s="28"/>
      <c r="F51" s="28" t="n">
        <v>0</v>
      </c>
      <c r="G51" s="28" t="n">
        <v>0</v>
      </c>
      <c r="H51" s="28" t="n">
        <v>0</v>
      </c>
      <c r="I51" s="28" t="n">
        <v>0</v>
      </c>
      <c r="J51" s="31" t="n">
        <v>0</v>
      </c>
      <c r="K51" s="31" t="n">
        <v>0</v>
      </c>
      <c r="L51" s="20" t="s">
        <v>188</v>
      </c>
      <c r="M51" s="33" t="s">
        <v>189</v>
      </c>
    </row>
    <row r="52" customFormat="false" ht="15" hidden="false" customHeight="false" outlineLevel="0" collapsed="false">
      <c r="A52" s="28" t="s">
        <v>203</v>
      </c>
      <c r="B52" s="28" t="s">
        <v>204</v>
      </c>
      <c r="C52" s="28" t="s">
        <v>138</v>
      </c>
      <c r="D52" s="29" t="n">
        <v>0</v>
      </c>
      <c r="E52" s="28"/>
      <c r="F52" s="28" t="n">
        <v>0</v>
      </c>
      <c r="G52" s="28" t="n">
        <v>0</v>
      </c>
      <c r="H52" s="28" t="n">
        <v>0</v>
      </c>
      <c r="I52" s="28" t="n">
        <v>0</v>
      </c>
      <c r="J52" s="31" t="n">
        <v>0</v>
      </c>
      <c r="K52" s="31" t="n">
        <v>0</v>
      </c>
      <c r="L52" s="20" t="s">
        <v>139</v>
      </c>
      <c r="M52" s="33" t="s">
        <v>205</v>
      </c>
    </row>
    <row r="53" customFormat="false" ht="15" hidden="false" customHeight="false" outlineLevel="0" collapsed="false">
      <c r="A53" s="28" t="s">
        <v>206</v>
      </c>
      <c r="B53" s="28" t="s">
        <v>207</v>
      </c>
      <c r="C53" s="28" t="s">
        <v>138</v>
      </c>
      <c r="D53" s="29" t="n">
        <v>0</v>
      </c>
      <c r="E53" s="28"/>
      <c r="F53" s="28" t="n">
        <v>0</v>
      </c>
      <c r="G53" s="28" t="n">
        <v>0</v>
      </c>
      <c r="H53" s="28" t="n">
        <v>0</v>
      </c>
      <c r="I53" s="28" t="n">
        <v>0</v>
      </c>
      <c r="J53" s="31" t="n">
        <v>2400</v>
      </c>
      <c r="K53" s="31" t="n">
        <v>4850</v>
      </c>
      <c r="L53" s="20" t="s">
        <v>139</v>
      </c>
      <c r="M53" s="33" t="s">
        <v>208</v>
      </c>
    </row>
    <row r="54" customFormat="false" ht="15" hidden="false" customHeight="false" outlineLevel="0" collapsed="false">
      <c r="A54" s="28" t="s">
        <v>209</v>
      </c>
      <c r="B54" s="28" t="s">
        <v>210</v>
      </c>
      <c r="C54" s="28" t="s">
        <v>211</v>
      </c>
      <c r="D54" s="29" t="n">
        <v>0</v>
      </c>
      <c r="E54" s="28" t="s">
        <v>212</v>
      </c>
      <c r="F54" s="28" t="n">
        <v>0.05</v>
      </c>
      <c r="G54" s="28" t="n">
        <v>1083150</v>
      </c>
      <c r="H54" s="28" t="n">
        <v>0.04</v>
      </c>
      <c r="I54" s="28" t="n">
        <v>0</v>
      </c>
      <c r="J54" s="31" t="n">
        <v>0</v>
      </c>
      <c r="K54" s="31" t="n">
        <v>0</v>
      </c>
      <c r="L54" s="20" t="s">
        <v>213</v>
      </c>
      <c r="M54" s="33" t="s">
        <v>214</v>
      </c>
    </row>
    <row r="55" customFormat="false" ht="15" hidden="false" customHeight="false" outlineLevel="0" collapsed="false">
      <c r="A55" s="28" t="s">
        <v>215</v>
      </c>
      <c r="B55" s="28" t="s">
        <v>216</v>
      </c>
      <c r="C55" s="28" t="s">
        <v>148</v>
      </c>
      <c r="D55" s="29" t="n">
        <v>0.0425</v>
      </c>
      <c r="E55" s="28"/>
      <c r="F55" s="28" t="n">
        <v>0</v>
      </c>
      <c r="G55" s="28" t="n">
        <v>0</v>
      </c>
      <c r="H55" s="28" t="n">
        <v>0</v>
      </c>
      <c r="I55" s="28" t="n">
        <v>0</v>
      </c>
      <c r="J55" s="31" t="n">
        <v>0</v>
      </c>
      <c r="K55" s="31" t="n">
        <v>0</v>
      </c>
      <c r="L55" s="20" t="s">
        <v>159</v>
      </c>
      <c r="M55" s="33" t="s">
        <v>160</v>
      </c>
    </row>
    <row r="56" customFormat="false" ht="15" hidden="false" customHeight="false" outlineLevel="0" collapsed="false">
      <c r="A56" s="28" t="s">
        <v>217</v>
      </c>
      <c r="B56" s="28" t="s">
        <v>218</v>
      </c>
      <c r="C56" s="28" t="s">
        <v>138</v>
      </c>
      <c r="D56" s="29" t="n">
        <v>0</v>
      </c>
      <c r="E56" s="28"/>
      <c r="F56" s="28" t="n">
        <v>0</v>
      </c>
      <c r="G56" s="28" t="n">
        <v>0</v>
      </c>
      <c r="H56" s="28" t="n">
        <v>0</v>
      </c>
      <c r="I56" s="28" t="n">
        <v>0</v>
      </c>
      <c r="J56" s="31" t="n">
        <v>14575</v>
      </c>
      <c r="K56" s="31" t="n">
        <v>29150</v>
      </c>
      <c r="L56" s="20" t="s">
        <v>139</v>
      </c>
      <c r="M56" s="33" t="s">
        <v>205</v>
      </c>
    </row>
    <row r="57" customFormat="false" ht="15" hidden="false" customHeight="false" outlineLevel="0" collapsed="false">
      <c r="A57" s="28" t="s">
        <v>219</v>
      </c>
      <c r="B57" s="28" t="s">
        <v>220</v>
      </c>
      <c r="C57" s="28" t="s">
        <v>148</v>
      </c>
      <c r="D57" s="29" t="n">
        <v>0.044</v>
      </c>
      <c r="E57" s="28"/>
      <c r="F57" s="28" t="n">
        <v>0</v>
      </c>
      <c r="G57" s="28" t="n">
        <v>0</v>
      </c>
      <c r="H57" s="28" t="n">
        <v>0</v>
      </c>
      <c r="I57" s="28" t="n">
        <v>0</v>
      </c>
      <c r="J57" s="31" t="n">
        <v>0</v>
      </c>
      <c r="K57" s="31" t="n">
        <v>0</v>
      </c>
      <c r="L57" s="20" t="s">
        <v>221</v>
      </c>
      <c r="M57" s="33" t="s">
        <v>222</v>
      </c>
    </row>
    <row r="58" customFormat="false" ht="15" hidden="false" customHeight="false" outlineLevel="0" collapsed="false">
      <c r="A58" s="28" t="s">
        <v>223</v>
      </c>
      <c r="B58" s="28" t="s">
        <v>224</v>
      </c>
      <c r="C58" s="28" t="s">
        <v>138</v>
      </c>
      <c r="D58" s="29" t="n">
        <v>0</v>
      </c>
      <c r="E58" s="28"/>
      <c r="F58" s="28" t="n">
        <v>0</v>
      </c>
      <c r="G58" s="28" t="n">
        <v>0</v>
      </c>
      <c r="H58" s="28" t="n">
        <v>0</v>
      </c>
      <c r="I58" s="28" t="n">
        <v>0</v>
      </c>
      <c r="J58" s="31" t="n">
        <v>0</v>
      </c>
      <c r="K58" s="31" t="n">
        <v>0</v>
      </c>
      <c r="L58" s="20" t="s">
        <v>139</v>
      </c>
      <c r="M58" s="33" t="s">
        <v>166</v>
      </c>
    </row>
    <row r="59" customFormat="false" ht="15" hidden="false" customHeight="false" outlineLevel="0" collapsed="false">
      <c r="A59" s="28" t="s">
        <v>225</v>
      </c>
      <c r="B59" s="28" t="s">
        <v>226</v>
      </c>
      <c r="C59" s="28" t="s">
        <v>138</v>
      </c>
      <c r="D59" s="29" t="n">
        <v>0</v>
      </c>
      <c r="E59" s="28"/>
      <c r="F59" s="28" t="n">
        <v>0</v>
      </c>
      <c r="G59" s="28" t="n">
        <v>0</v>
      </c>
      <c r="H59" s="28" t="n">
        <v>0</v>
      </c>
      <c r="I59" s="28" t="n">
        <v>0</v>
      </c>
      <c r="J59" s="31" t="n">
        <v>0</v>
      </c>
      <c r="K59" s="31" t="n">
        <v>0</v>
      </c>
      <c r="L59" s="20" t="s">
        <v>139</v>
      </c>
      <c r="M59" s="33" t="s">
        <v>227</v>
      </c>
    </row>
    <row r="60" customFormat="false" ht="15" hidden="false" customHeight="false" outlineLevel="0" collapsed="false">
      <c r="A60" s="28" t="s">
        <v>228</v>
      </c>
      <c r="B60" s="28" t="s">
        <v>229</v>
      </c>
      <c r="C60" s="28" t="s">
        <v>138</v>
      </c>
      <c r="D60" s="29" t="n">
        <v>0</v>
      </c>
      <c r="E60" s="28"/>
      <c r="F60" s="28" t="n">
        <v>0</v>
      </c>
      <c r="G60" s="28" t="n">
        <v>0</v>
      </c>
      <c r="H60" s="28" t="n">
        <v>0</v>
      </c>
      <c r="I60" s="28" t="n">
        <v>0</v>
      </c>
      <c r="J60" s="31" t="n">
        <v>0</v>
      </c>
      <c r="K60" s="31" t="n">
        <v>0</v>
      </c>
      <c r="L60" s="20" t="s">
        <v>139</v>
      </c>
      <c r="M60" s="33" t="s">
        <v>230</v>
      </c>
    </row>
    <row r="61" customFormat="false" ht="15" hidden="false" customHeight="false" outlineLevel="0" collapsed="false">
      <c r="A61" s="28" t="s">
        <v>231</v>
      </c>
      <c r="B61" s="28" t="s">
        <v>232</v>
      </c>
      <c r="C61" s="28" t="s">
        <v>143</v>
      </c>
      <c r="D61" s="29" t="n">
        <v>0</v>
      </c>
      <c r="E61" s="28"/>
      <c r="F61" s="28" t="n">
        <v>0</v>
      </c>
      <c r="G61" s="28" t="n">
        <v>0</v>
      </c>
      <c r="H61" s="28" t="n">
        <v>0</v>
      </c>
      <c r="I61" s="28" t="n">
        <v>0</v>
      </c>
      <c r="J61" s="31" t="n">
        <v>0</v>
      </c>
      <c r="K61" s="31" t="n">
        <v>0</v>
      </c>
      <c r="L61" s="20" t="s">
        <v>144</v>
      </c>
      <c r="M61" s="33" t="s">
        <v>145</v>
      </c>
    </row>
    <row r="62" customFormat="false" ht="15" hidden="false" customHeight="false" outlineLevel="0" collapsed="false">
      <c r="A62" s="28" t="s">
        <v>233</v>
      </c>
      <c r="B62" s="28" t="s">
        <v>234</v>
      </c>
      <c r="C62" s="28" t="s">
        <v>143</v>
      </c>
      <c r="D62" s="29" t="n">
        <v>0</v>
      </c>
      <c r="E62" s="28"/>
      <c r="F62" s="28" t="n">
        <v>0</v>
      </c>
      <c r="G62" s="28" t="n">
        <v>0</v>
      </c>
      <c r="H62" s="28" t="n">
        <v>0</v>
      </c>
      <c r="I62" s="28" t="n">
        <v>0</v>
      </c>
      <c r="J62" s="31" t="n">
        <v>0</v>
      </c>
      <c r="K62" s="31" t="n">
        <v>0</v>
      </c>
      <c r="L62" s="20" t="s">
        <v>144</v>
      </c>
      <c r="M62" s="33" t="s">
        <v>145</v>
      </c>
    </row>
    <row r="63" customFormat="false" ht="15" hidden="false" customHeight="false" outlineLevel="0" collapsed="false">
      <c r="A63" s="28" t="s">
        <v>235</v>
      </c>
      <c r="B63" s="28" t="s">
        <v>7</v>
      </c>
      <c r="C63" s="28" t="s">
        <v>138</v>
      </c>
      <c r="D63" s="29" t="n">
        <v>0</v>
      </c>
      <c r="E63" s="28"/>
      <c r="F63" s="28" t="n">
        <v>0</v>
      </c>
      <c r="G63" s="28" t="n">
        <v>0</v>
      </c>
      <c r="H63" s="28" t="n">
        <v>0</v>
      </c>
      <c r="I63" s="28" t="n">
        <v>0</v>
      </c>
      <c r="J63" s="31" t="n">
        <v>0</v>
      </c>
      <c r="K63" s="31" t="n">
        <v>0</v>
      </c>
      <c r="L63" s="20" t="s">
        <v>139</v>
      </c>
      <c r="M63" s="33" t="s">
        <v>236</v>
      </c>
    </row>
    <row r="64" customFormat="false" ht="15" hidden="false" customHeight="false" outlineLevel="0" collapsed="false">
      <c r="A64" s="28" t="s">
        <v>237</v>
      </c>
      <c r="B64" s="28" t="s">
        <v>238</v>
      </c>
      <c r="C64" s="28" t="s">
        <v>138</v>
      </c>
      <c r="D64" s="29" t="n">
        <v>0</v>
      </c>
      <c r="E64" s="28"/>
      <c r="F64" s="28" t="n">
        <v>0</v>
      </c>
      <c r="G64" s="28" t="n">
        <v>0</v>
      </c>
      <c r="H64" s="28" t="n">
        <v>0</v>
      </c>
      <c r="I64" s="28" t="n">
        <v>0</v>
      </c>
      <c r="J64" s="31" t="n">
        <v>0</v>
      </c>
      <c r="K64" s="31" t="n">
        <v>0</v>
      </c>
      <c r="L64" s="20" t="s">
        <v>139</v>
      </c>
      <c r="M64" s="33" t="s">
        <v>239</v>
      </c>
    </row>
    <row r="65" customFormat="false" ht="15" hidden="false" customHeight="false" outlineLevel="0" collapsed="false">
      <c r="A65" s="28" t="s">
        <v>240</v>
      </c>
      <c r="B65" s="28" t="s">
        <v>241</v>
      </c>
      <c r="C65" s="28" t="s">
        <v>138</v>
      </c>
      <c r="D65" s="29" t="n">
        <v>0</v>
      </c>
      <c r="E65" s="28"/>
      <c r="F65" s="28" t="n">
        <v>0</v>
      </c>
      <c r="G65" s="28" t="n">
        <v>0</v>
      </c>
      <c r="H65" s="28" t="n">
        <v>0</v>
      </c>
      <c r="I65" s="28" t="n">
        <v>0</v>
      </c>
      <c r="J65" s="31" t="n">
        <v>8000</v>
      </c>
      <c r="K65" s="31" t="n">
        <v>16050</v>
      </c>
      <c r="L65" s="20" t="s">
        <v>139</v>
      </c>
      <c r="M65" s="33" t="s">
        <v>242</v>
      </c>
    </row>
    <row r="66" customFormat="false" ht="15" hidden="false" customHeight="false" outlineLevel="0" collapsed="false">
      <c r="A66" s="28" t="s">
        <v>243</v>
      </c>
      <c r="B66" s="28" t="s">
        <v>244</v>
      </c>
      <c r="C66" s="28" t="s">
        <v>148</v>
      </c>
      <c r="D66" s="29" t="n">
        <v>0.0425</v>
      </c>
      <c r="E66" s="28"/>
      <c r="F66" s="28" t="n">
        <v>0</v>
      </c>
      <c r="G66" s="28" t="n">
        <v>0</v>
      </c>
      <c r="H66" s="28" t="n">
        <v>0</v>
      </c>
      <c r="I66" s="28" t="n">
        <v>0</v>
      </c>
      <c r="J66" s="31" t="n">
        <v>12750</v>
      </c>
      <c r="K66" s="31" t="n">
        <v>25500</v>
      </c>
      <c r="L66" s="20" t="s">
        <v>159</v>
      </c>
      <c r="M66" s="33" t="s">
        <v>160</v>
      </c>
    </row>
    <row r="67" customFormat="false" ht="15" hidden="false" customHeight="false" outlineLevel="0" collapsed="false">
      <c r="A67" s="28" t="s">
        <v>245</v>
      </c>
      <c r="B67" s="28" t="s">
        <v>246</v>
      </c>
      <c r="C67" s="28" t="s">
        <v>138</v>
      </c>
      <c r="D67" s="29" t="n">
        <v>0</v>
      </c>
      <c r="E67" s="28"/>
      <c r="F67" s="28" t="n">
        <v>0</v>
      </c>
      <c r="G67" s="28" t="n">
        <v>0</v>
      </c>
      <c r="H67" s="28" t="n">
        <v>0</v>
      </c>
      <c r="I67" s="28" t="n">
        <v>0</v>
      </c>
      <c r="J67" s="31" t="n">
        <v>0</v>
      </c>
      <c r="K67" s="31" t="n">
        <v>0</v>
      </c>
      <c r="L67" s="20" t="s">
        <v>139</v>
      </c>
      <c r="M67" s="33" t="s">
        <v>247</v>
      </c>
    </row>
    <row r="68" customFormat="false" ht="15" hidden="false" customHeight="false" outlineLevel="0" collapsed="false">
      <c r="A68" s="28" t="s">
        <v>248</v>
      </c>
      <c r="B68" s="28" t="s">
        <v>249</v>
      </c>
      <c r="C68" s="28" t="s">
        <v>138</v>
      </c>
      <c r="D68" s="29" t="n">
        <v>0</v>
      </c>
      <c r="E68" s="28"/>
      <c r="F68" s="28" t="n">
        <v>0</v>
      </c>
      <c r="G68" s="28" t="n">
        <v>0</v>
      </c>
      <c r="H68" s="28" t="n">
        <v>0</v>
      </c>
      <c r="I68" s="28" t="n">
        <v>0</v>
      </c>
      <c r="J68" s="31" t="n">
        <v>0</v>
      </c>
      <c r="K68" s="31" t="n">
        <v>0</v>
      </c>
      <c r="L68" s="20" t="s">
        <v>139</v>
      </c>
      <c r="M68" s="33" t="s">
        <v>250</v>
      </c>
    </row>
    <row r="69" customFormat="false" ht="15" hidden="false" customHeight="false" outlineLevel="0" collapsed="false">
      <c r="A69" s="28" t="s">
        <v>251</v>
      </c>
      <c r="B69" s="28" t="s">
        <v>252</v>
      </c>
      <c r="C69" s="28" t="s">
        <v>138</v>
      </c>
      <c r="D69" s="29" t="n">
        <v>0</v>
      </c>
      <c r="E69" s="28"/>
      <c r="F69" s="28" t="n">
        <v>0</v>
      </c>
      <c r="G69" s="28" t="n">
        <v>0</v>
      </c>
      <c r="H69" s="28" t="n">
        <v>0</v>
      </c>
      <c r="I69" s="28" t="n">
        <v>0</v>
      </c>
      <c r="J69" s="31" t="n">
        <v>0</v>
      </c>
      <c r="K69" s="31" t="n">
        <v>0</v>
      </c>
      <c r="L69" s="20" t="s">
        <v>139</v>
      </c>
      <c r="M69" s="33" t="s">
        <v>205</v>
      </c>
    </row>
    <row r="70" customFormat="false" ht="15" hidden="false" customHeight="false" outlineLevel="0" collapsed="false">
      <c r="A70" s="28" t="s">
        <v>253</v>
      </c>
      <c r="B70" s="28" t="s">
        <v>254</v>
      </c>
      <c r="C70" s="28" t="s">
        <v>138</v>
      </c>
      <c r="D70" s="29" t="n">
        <v>0</v>
      </c>
      <c r="E70" s="28"/>
      <c r="F70" s="28" t="n">
        <v>0</v>
      </c>
      <c r="G70" s="28" t="n">
        <v>0</v>
      </c>
      <c r="H70" s="28" t="n">
        <v>0</v>
      </c>
      <c r="I70" s="28" t="n">
        <v>0</v>
      </c>
      <c r="J70" s="31" t="n">
        <v>2745</v>
      </c>
      <c r="K70" s="31" t="n">
        <v>5495</v>
      </c>
      <c r="L70" s="20" t="s">
        <v>139</v>
      </c>
      <c r="M70" s="33" t="s">
        <v>205</v>
      </c>
    </row>
    <row r="71" customFormat="false" ht="15" hidden="false" customHeight="false" outlineLevel="0" collapsed="false">
      <c r="A71" s="28" t="s">
        <v>255</v>
      </c>
      <c r="B71" s="28" t="s">
        <v>256</v>
      </c>
      <c r="C71" s="28" t="s">
        <v>148</v>
      </c>
      <c r="D71" s="29" t="n">
        <v>0.0307</v>
      </c>
      <c r="E71" s="28"/>
      <c r="F71" s="28" t="n">
        <v>0</v>
      </c>
      <c r="G71" s="28" t="n">
        <v>0</v>
      </c>
      <c r="H71" s="28" t="n">
        <v>0</v>
      </c>
      <c r="I71" s="28" t="n">
        <v>0</v>
      </c>
      <c r="J71" s="31" t="n">
        <v>0</v>
      </c>
      <c r="K71" s="31" t="n">
        <v>0</v>
      </c>
      <c r="L71" s="20" t="s">
        <v>257</v>
      </c>
      <c r="M71" s="33" t="s">
        <v>258</v>
      </c>
    </row>
    <row r="72" customFormat="false" ht="15" hidden="false" customHeight="false" outlineLevel="0" collapsed="false">
      <c r="A72" s="28" t="s">
        <v>259</v>
      </c>
      <c r="B72" s="28" t="s">
        <v>260</v>
      </c>
      <c r="C72" s="28" t="s">
        <v>138</v>
      </c>
      <c r="D72" s="29" t="n">
        <v>0</v>
      </c>
      <c r="E72" s="28"/>
      <c r="F72" s="28" t="n">
        <v>0</v>
      </c>
      <c r="G72" s="28" t="n">
        <v>0</v>
      </c>
      <c r="H72" s="28" t="n">
        <v>0</v>
      </c>
      <c r="I72" s="28" t="n">
        <v>0</v>
      </c>
      <c r="J72" s="31" t="n">
        <v>0</v>
      </c>
      <c r="K72" s="31" t="n">
        <v>0</v>
      </c>
      <c r="L72" s="20" t="s">
        <v>139</v>
      </c>
      <c r="M72" s="33" t="s">
        <v>166</v>
      </c>
    </row>
    <row r="73" customFormat="false" ht="15" hidden="false" customHeight="false" outlineLevel="0" collapsed="false">
      <c r="A73" s="28" t="s">
        <v>261</v>
      </c>
      <c r="B73" s="28" t="s">
        <v>262</v>
      </c>
      <c r="C73" s="28" t="s">
        <v>138</v>
      </c>
      <c r="D73" s="29" t="n">
        <v>0</v>
      </c>
      <c r="E73" s="28"/>
      <c r="F73" s="28" t="n">
        <v>0</v>
      </c>
      <c r="G73" s="28" t="n">
        <v>0</v>
      </c>
      <c r="H73" s="28" t="n">
        <v>0</v>
      </c>
      <c r="I73" s="28" t="n">
        <v>0</v>
      </c>
      <c r="J73" s="31" t="n">
        <v>14600</v>
      </c>
      <c r="K73" s="31" t="n">
        <v>29200</v>
      </c>
      <c r="L73" s="20" t="s">
        <v>139</v>
      </c>
      <c r="M73" s="33" t="s">
        <v>263</v>
      </c>
    </row>
    <row r="74" customFormat="false" ht="15" hidden="false" customHeight="false" outlineLevel="0" collapsed="false">
      <c r="A74" s="28" t="s">
        <v>264</v>
      </c>
      <c r="B74" s="28" t="s">
        <v>265</v>
      </c>
      <c r="C74" s="28" t="s">
        <v>143</v>
      </c>
      <c r="D74" s="29" t="n">
        <v>0</v>
      </c>
      <c r="E74" s="28"/>
      <c r="F74" s="28" t="n">
        <v>0</v>
      </c>
      <c r="G74" s="28" t="n">
        <v>0</v>
      </c>
      <c r="H74" s="28" t="n">
        <v>0</v>
      </c>
      <c r="I74" s="28" t="n">
        <v>0</v>
      </c>
      <c r="J74" s="31" t="n">
        <v>0</v>
      </c>
      <c r="K74" s="31" t="n">
        <v>0</v>
      </c>
      <c r="L74" s="20" t="s">
        <v>144</v>
      </c>
      <c r="M74" s="33" t="s">
        <v>145</v>
      </c>
    </row>
    <row r="75" customFormat="false" ht="15" hidden="false" customHeight="false" outlineLevel="0" collapsed="false">
      <c r="A75" s="28" t="s">
        <v>266</v>
      </c>
      <c r="B75" s="28" t="s">
        <v>267</v>
      </c>
      <c r="C75" s="28" t="s">
        <v>143</v>
      </c>
      <c r="D75" s="29" t="n">
        <v>0</v>
      </c>
      <c r="E75" s="28"/>
      <c r="F75" s="28" t="n">
        <v>0</v>
      </c>
      <c r="G75" s="28" t="n">
        <v>0</v>
      </c>
      <c r="H75" s="28" t="n">
        <v>0</v>
      </c>
      <c r="I75" s="28" t="n">
        <v>0</v>
      </c>
      <c r="J75" s="31" t="n">
        <v>0</v>
      </c>
      <c r="K75" s="31" t="n">
        <v>0</v>
      </c>
      <c r="L75" s="20" t="s">
        <v>144</v>
      </c>
      <c r="M75" s="33" t="s">
        <v>145</v>
      </c>
    </row>
    <row r="76" customFormat="false" ht="15" hidden="false" customHeight="false" outlineLevel="0" collapsed="false">
      <c r="A76" s="28" t="s">
        <v>268</v>
      </c>
      <c r="B76" s="28" t="s">
        <v>269</v>
      </c>
      <c r="C76" s="28" t="s">
        <v>143</v>
      </c>
      <c r="D76" s="29" t="n">
        <v>0</v>
      </c>
      <c r="E76" s="28"/>
      <c r="F76" s="28" t="n">
        <v>0</v>
      </c>
      <c r="G76" s="28" t="n">
        <v>0</v>
      </c>
      <c r="H76" s="28" t="n">
        <v>0</v>
      </c>
      <c r="I76" s="28" t="n">
        <v>0</v>
      </c>
      <c r="J76" s="31" t="n">
        <v>0</v>
      </c>
      <c r="K76" s="31" t="n">
        <v>0</v>
      </c>
      <c r="L76" s="20" t="s">
        <v>144</v>
      </c>
      <c r="M76" s="33" t="s">
        <v>145</v>
      </c>
    </row>
    <row r="77" customFormat="false" ht="15" hidden="false" customHeight="false" outlineLevel="0" collapsed="false">
      <c r="A77" s="28" t="s">
        <v>270</v>
      </c>
      <c r="B77" s="28" t="s">
        <v>271</v>
      </c>
      <c r="C77" s="28" t="s">
        <v>148</v>
      </c>
      <c r="D77" s="29" t="n">
        <v>0.045</v>
      </c>
      <c r="E77" s="28"/>
      <c r="F77" s="28" t="n">
        <v>0</v>
      </c>
      <c r="G77" s="28" t="n">
        <v>0</v>
      </c>
      <c r="H77" s="28" t="n">
        <v>0</v>
      </c>
      <c r="I77" s="28" t="n">
        <v>0</v>
      </c>
      <c r="J77" s="31" t="n">
        <v>0</v>
      </c>
      <c r="K77" s="31" t="n">
        <v>0</v>
      </c>
      <c r="L77" s="20" t="s">
        <v>272</v>
      </c>
      <c r="M77" s="33" t="s">
        <v>273</v>
      </c>
    </row>
    <row r="78" customFormat="false" ht="15" hidden="false" customHeight="false" outlineLevel="0" collapsed="false">
      <c r="A78" s="28" t="s">
        <v>274</v>
      </c>
      <c r="B78" s="28" t="s">
        <v>275</v>
      </c>
      <c r="C78" s="28" t="s">
        <v>138</v>
      </c>
      <c r="D78" s="29" t="n">
        <v>0</v>
      </c>
      <c r="E78" s="28"/>
      <c r="F78" s="28" t="n">
        <v>0</v>
      </c>
      <c r="G78" s="28" t="n">
        <v>0</v>
      </c>
      <c r="H78" s="28" t="n">
        <v>0</v>
      </c>
      <c r="I78" s="28" t="n">
        <v>0</v>
      </c>
      <c r="J78" s="31" t="n">
        <v>0</v>
      </c>
      <c r="K78" s="31" t="n">
        <v>0</v>
      </c>
      <c r="L78" s="20" t="s">
        <v>139</v>
      </c>
      <c r="M78" s="33" t="s">
        <v>276</v>
      </c>
    </row>
    <row r="79" customFormat="false" ht="15" hidden="false" customHeight="false" outlineLevel="0" collapsed="false">
      <c r="A79" s="28" t="s">
        <v>277</v>
      </c>
      <c r="B79" s="28" t="s">
        <v>278</v>
      </c>
      <c r="C79" s="28" t="s">
        <v>138</v>
      </c>
      <c r="D79" s="29" t="n">
        <v>0</v>
      </c>
      <c r="E79" s="28"/>
      <c r="F79" s="28" t="n">
        <v>0</v>
      </c>
      <c r="G79" s="28" t="n">
        <v>0</v>
      </c>
      <c r="H79" s="28" t="n">
        <v>0</v>
      </c>
      <c r="I79" s="28" t="n">
        <v>0</v>
      </c>
      <c r="J79" s="31" t="n">
        <v>8500</v>
      </c>
      <c r="K79" s="31" t="n">
        <v>17000</v>
      </c>
      <c r="L79" s="20" t="s">
        <v>139</v>
      </c>
      <c r="M79" s="33" t="s">
        <v>166</v>
      </c>
    </row>
    <row r="80" customFormat="false" ht="15" hidden="false" customHeight="false" outlineLevel="0" collapsed="false">
      <c r="A80" s="28" t="s">
        <v>279</v>
      </c>
      <c r="B80" s="28" t="s">
        <v>280</v>
      </c>
      <c r="C80" s="28" t="s">
        <v>143</v>
      </c>
      <c r="D80" s="29" t="n">
        <v>0</v>
      </c>
      <c r="E80" s="28"/>
      <c r="F80" s="28" t="n">
        <v>0</v>
      </c>
      <c r="G80" s="28" t="n">
        <v>0</v>
      </c>
      <c r="H80" s="28" t="n">
        <v>0</v>
      </c>
      <c r="I80" s="28" t="n">
        <v>0</v>
      </c>
      <c r="J80" s="31" t="n">
        <v>0</v>
      </c>
      <c r="K80" s="31" t="n">
        <v>0</v>
      </c>
      <c r="L80" s="20" t="s">
        <v>144</v>
      </c>
      <c r="M80" s="33" t="s">
        <v>281</v>
      </c>
    </row>
    <row r="81" customFormat="false" ht="15" hidden="false" customHeight="false" outlineLevel="0" collapsed="false">
      <c r="A81" s="28" t="s">
        <v>282</v>
      </c>
      <c r="B81" s="28" t="s">
        <v>283</v>
      </c>
      <c r="C81" s="28" t="s">
        <v>138</v>
      </c>
      <c r="D81" s="29" t="n">
        <v>0</v>
      </c>
      <c r="E81" s="28"/>
      <c r="F81" s="28" t="n">
        <v>0</v>
      </c>
      <c r="G81" s="28" t="n">
        <v>0</v>
      </c>
      <c r="H81" s="28" t="n">
        <v>0</v>
      </c>
      <c r="I81" s="28" t="n">
        <v>0</v>
      </c>
      <c r="J81" s="31" t="n">
        <v>0</v>
      </c>
      <c r="K81" s="31" t="n">
        <v>0</v>
      </c>
      <c r="L81" s="20" t="s">
        <v>139</v>
      </c>
      <c r="M81" s="33" t="s">
        <v>284</v>
      </c>
    </row>
    <row r="82" customFormat="false" ht="15" hidden="false" customHeight="false" outlineLevel="0" collapsed="false">
      <c r="A82" s="28" t="s">
        <v>285</v>
      </c>
      <c r="B82" s="28" t="s">
        <v>286</v>
      </c>
      <c r="C82" s="28" t="s">
        <v>138</v>
      </c>
      <c r="D82" s="29" t="n">
        <v>0</v>
      </c>
      <c r="E82" s="28"/>
      <c r="F82" s="28" t="n">
        <v>0</v>
      </c>
      <c r="G82" s="28" t="n">
        <v>0</v>
      </c>
      <c r="H82" s="28" t="n">
        <v>0</v>
      </c>
      <c r="I82" s="28" t="n">
        <v>0</v>
      </c>
      <c r="J82" s="31" t="n">
        <v>13230</v>
      </c>
      <c r="K82" s="31" t="n">
        <v>25640</v>
      </c>
      <c r="L82" s="20" t="s">
        <v>139</v>
      </c>
      <c r="M82" s="33" t="s">
        <v>287</v>
      </c>
    </row>
    <row r="83" customFormat="false" ht="15" hidden="false" customHeight="false" outlineLevel="0" collapsed="false">
      <c r="A83" s="28" t="s">
        <v>288</v>
      </c>
      <c r="B83" s="28" t="s">
        <v>289</v>
      </c>
      <c r="C83" s="28" t="s">
        <v>143</v>
      </c>
      <c r="D83" s="29" t="n">
        <v>0</v>
      </c>
      <c r="E83" s="28"/>
      <c r="F83" s="28" t="n">
        <v>0</v>
      </c>
      <c r="G83" s="28" t="n">
        <v>0</v>
      </c>
      <c r="H83" s="28" t="n">
        <v>0</v>
      </c>
      <c r="I83" s="28" t="n">
        <v>0</v>
      </c>
      <c r="J83" s="31" t="n">
        <v>0</v>
      </c>
      <c r="K83" s="31" t="n">
        <v>0</v>
      </c>
      <c r="L83" s="20" t="s">
        <v>144</v>
      </c>
      <c r="M83" s="33" t="s">
        <v>145</v>
      </c>
    </row>
    <row r="85" customFormat="false" ht="15" hidden="false" customHeight="false" outlineLevel="0" collapsed="false">
      <c r="A85" s="27" t="s">
        <v>290</v>
      </c>
    </row>
    <row r="86" customFormat="false" ht="15" hidden="false" customHeight="false" outlineLevel="0" collapsed="false">
      <c r="A86" s="34" t="s">
        <v>123</v>
      </c>
      <c r="B86" s="34" t="s">
        <v>291</v>
      </c>
      <c r="C86" s="34" t="s">
        <v>92</v>
      </c>
      <c r="D86" s="34" t="s">
        <v>93</v>
      </c>
      <c r="E86" s="34" t="s">
        <v>94</v>
      </c>
      <c r="F86" s="34" t="s">
        <v>95</v>
      </c>
      <c r="G86" s="34" t="s">
        <v>96</v>
      </c>
      <c r="H86" s="34" t="s">
        <v>97</v>
      </c>
      <c r="I86" s="34" t="s">
        <v>98</v>
      </c>
      <c r="J86" s="34" t="s">
        <v>99</v>
      </c>
      <c r="K86" s="34" t="s">
        <v>100</v>
      </c>
      <c r="L86" s="34" t="s">
        <v>101</v>
      </c>
      <c r="M86" s="34" t="s">
        <v>102</v>
      </c>
      <c r="N86" s="34" t="s">
        <v>103</v>
      </c>
      <c r="O86" s="34" t="s">
        <v>104</v>
      </c>
      <c r="P86" s="34" t="s">
        <v>105</v>
      </c>
      <c r="Q86" s="34" t="s">
        <v>106</v>
      </c>
      <c r="R86" s="34" t="s">
        <v>107</v>
      </c>
      <c r="S86" s="34" t="s">
        <v>108</v>
      </c>
      <c r="T86" s="34" t="s">
        <v>109</v>
      </c>
      <c r="U86" s="34" t="s">
        <v>110</v>
      </c>
      <c r="V86" s="34" t="s">
        <v>111</v>
      </c>
      <c r="W86" s="34" t="s">
        <v>112</v>
      </c>
      <c r="X86" s="34" t="s">
        <v>113</v>
      </c>
      <c r="Y86" s="34" t="s">
        <v>292</v>
      </c>
      <c r="Z86" s="34" t="s">
        <v>293</v>
      </c>
      <c r="AA86" s="34" t="s">
        <v>294</v>
      </c>
      <c r="AB86" s="34" t="s">
        <v>295</v>
      </c>
      <c r="AC86" s="34" t="s">
        <v>296</v>
      </c>
      <c r="AD86" s="34" t="s">
        <v>297</v>
      </c>
      <c r="AE86" s="34" t="s">
        <v>298</v>
      </c>
      <c r="AF86" s="34" t="s">
        <v>299</v>
      </c>
      <c r="AG86" s="34" t="s">
        <v>300</v>
      </c>
    </row>
    <row r="87" customFormat="false" ht="15" hidden="false" customHeight="false" outlineLevel="0" collapsed="false">
      <c r="A87" s="20" t="s">
        <v>136</v>
      </c>
      <c r="B87" s="20" t="s">
        <v>114</v>
      </c>
      <c r="C87" s="28" t="str">
        <f aca="false">A87&amp;"|"&amp;B87</f>
        <v>AL|Single</v>
      </c>
      <c r="D87" s="24" t="n">
        <v>0.02</v>
      </c>
      <c r="E87" s="25" t="n">
        <v>0</v>
      </c>
      <c r="F87" s="25" t="n">
        <f aca="false">H87</f>
        <v>500</v>
      </c>
      <c r="G87" s="24" t="n">
        <v>0.04</v>
      </c>
      <c r="H87" s="25" t="n">
        <v>500</v>
      </c>
      <c r="I87" s="25" t="n">
        <f aca="false">K87</f>
        <v>3000</v>
      </c>
      <c r="J87" s="24" t="n">
        <v>0.05</v>
      </c>
      <c r="K87" s="25" t="n">
        <v>3000</v>
      </c>
      <c r="L87" s="25" t="n">
        <f aca="false">N87</f>
        <v>999999999</v>
      </c>
      <c r="M87" s="24" t="n">
        <v>0</v>
      </c>
      <c r="N87" s="25" t="n">
        <v>999999999</v>
      </c>
      <c r="O87" s="25" t="n">
        <f aca="false">Q87</f>
        <v>999999999</v>
      </c>
      <c r="P87" s="24" t="n">
        <v>0</v>
      </c>
      <c r="Q87" s="25" t="n">
        <v>999999999</v>
      </c>
      <c r="R87" s="25" t="n">
        <f aca="false">T87</f>
        <v>999999999</v>
      </c>
      <c r="S87" s="24" t="n">
        <v>0</v>
      </c>
      <c r="T87" s="25" t="n">
        <v>999999999</v>
      </c>
      <c r="U87" s="25" t="n">
        <f aca="false">W87</f>
        <v>999999999</v>
      </c>
      <c r="V87" s="24" t="n">
        <v>0</v>
      </c>
      <c r="W87" s="25" t="n">
        <v>999999999</v>
      </c>
      <c r="X87" s="25" t="n">
        <f aca="false">Z87</f>
        <v>999999999</v>
      </c>
      <c r="Y87" s="24" t="n">
        <v>0</v>
      </c>
      <c r="Z87" s="25" t="n">
        <v>999999999</v>
      </c>
      <c r="AA87" s="25" t="n">
        <f aca="false">AC87</f>
        <v>999999999</v>
      </c>
      <c r="AB87" s="24" t="n">
        <v>0</v>
      </c>
      <c r="AC87" s="25" t="n">
        <v>999999999</v>
      </c>
      <c r="AD87" s="25" t="n">
        <f aca="false">AF87</f>
        <v>999999999</v>
      </c>
      <c r="AE87" s="24" t="n">
        <v>0</v>
      </c>
      <c r="AF87" s="25" t="n">
        <v>999999999</v>
      </c>
      <c r="AG87" s="25" t="n">
        <v>999999999</v>
      </c>
    </row>
    <row r="88" customFormat="false" ht="15" hidden="false" customHeight="false" outlineLevel="0" collapsed="false">
      <c r="A88" s="20" t="s">
        <v>136</v>
      </c>
      <c r="B88" s="20" t="s">
        <v>115</v>
      </c>
      <c r="C88" s="28" t="str">
        <f aca="false">A88&amp;"|"&amp;B88</f>
        <v>AL|MFJ</v>
      </c>
      <c r="D88" s="24" t="n">
        <v>0.02</v>
      </c>
      <c r="E88" s="25" t="n">
        <v>0</v>
      </c>
      <c r="F88" s="25" t="n">
        <f aca="false">H88</f>
        <v>1000</v>
      </c>
      <c r="G88" s="24" t="n">
        <v>0.04</v>
      </c>
      <c r="H88" s="25" t="n">
        <v>1000</v>
      </c>
      <c r="I88" s="25" t="n">
        <f aca="false">K88</f>
        <v>6000</v>
      </c>
      <c r="J88" s="24" t="n">
        <v>0.05</v>
      </c>
      <c r="K88" s="25" t="n">
        <v>6000</v>
      </c>
      <c r="L88" s="25" t="n">
        <f aca="false">N88</f>
        <v>999999999</v>
      </c>
      <c r="M88" s="24" t="n">
        <v>0</v>
      </c>
      <c r="N88" s="25" t="n">
        <v>999999999</v>
      </c>
      <c r="O88" s="25" t="n">
        <f aca="false">Q88</f>
        <v>999999999</v>
      </c>
      <c r="P88" s="24" t="n">
        <v>0</v>
      </c>
      <c r="Q88" s="25" t="n">
        <v>999999999</v>
      </c>
      <c r="R88" s="25" t="n">
        <f aca="false">T88</f>
        <v>999999999</v>
      </c>
      <c r="S88" s="24" t="n">
        <v>0</v>
      </c>
      <c r="T88" s="25" t="n">
        <v>999999999</v>
      </c>
      <c r="U88" s="25" t="n">
        <f aca="false">W88</f>
        <v>999999999</v>
      </c>
      <c r="V88" s="24" t="n">
        <v>0</v>
      </c>
      <c r="W88" s="25" t="n">
        <v>999999999</v>
      </c>
      <c r="X88" s="25" t="n">
        <f aca="false">Z88</f>
        <v>999999999</v>
      </c>
      <c r="Y88" s="24" t="n">
        <v>0</v>
      </c>
      <c r="Z88" s="25" t="n">
        <v>999999999</v>
      </c>
      <c r="AA88" s="25" t="n">
        <f aca="false">AC88</f>
        <v>999999999</v>
      </c>
      <c r="AB88" s="24" t="n">
        <v>0</v>
      </c>
      <c r="AC88" s="25" t="n">
        <v>999999999</v>
      </c>
      <c r="AD88" s="25" t="n">
        <f aca="false">AF88</f>
        <v>999999999</v>
      </c>
      <c r="AE88" s="24" t="n">
        <v>0</v>
      </c>
      <c r="AF88" s="25" t="n">
        <v>999999999</v>
      </c>
      <c r="AG88" s="25" t="n">
        <v>999999999</v>
      </c>
    </row>
    <row r="89" customFormat="false" ht="15" hidden="false" customHeight="false" outlineLevel="0" collapsed="false">
      <c r="A89" s="20" t="s">
        <v>141</v>
      </c>
      <c r="B89" s="20" t="s">
        <v>114</v>
      </c>
      <c r="C89" s="28" t="str">
        <f aca="false">A89&amp;"|"&amp;B89</f>
        <v>AK|Single</v>
      </c>
      <c r="D89" s="24" t="n">
        <v>0</v>
      </c>
      <c r="E89" s="25" t="n">
        <v>0</v>
      </c>
      <c r="F89" s="25" t="n">
        <f aca="false">H89</f>
        <v>999999999</v>
      </c>
      <c r="G89" s="24" t="n">
        <v>0</v>
      </c>
      <c r="H89" s="25" t="n">
        <v>999999999</v>
      </c>
      <c r="I89" s="25" t="n">
        <f aca="false">K89</f>
        <v>999999999</v>
      </c>
      <c r="J89" s="24" t="n">
        <v>0</v>
      </c>
      <c r="K89" s="25" t="n">
        <v>999999999</v>
      </c>
      <c r="L89" s="25" t="n">
        <f aca="false">N89</f>
        <v>999999999</v>
      </c>
      <c r="M89" s="24" t="n">
        <v>0</v>
      </c>
      <c r="N89" s="25" t="n">
        <v>999999999</v>
      </c>
      <c r="O89" s="25" t="n">
        <f aca="false">Q89</f>
        <v>999999999</v>
      </c>
      <c r="P89" s="24" t="n">
        <v>0</v>
      </c>
      <c r="Q89" s="25" t="n">
        <v>999999999</v>
      </c>
      <c r="R89" s="25" t="n">
        <f aca="false">T89</f>
        <v>999999999</v>
      </c>
      <c r="S89" s="24" t="n">
        <v>0</v>
      </c>
      <c r="T89" s="25" t="n">
        <v>999999999</v>
      </c>
      <c r="U89" s="25" t="n">
        <f aca="false">W89</f>
        <v>999999999</v>
      </c>
      <c r="V89" s="24" t="n">
        <v>0</v>
      </c>
      <c r="W89" s="25" t="n">
        <v>999999999</v>
      </c>
      <c r="X89" s="25" t="n">
        <f aca="false">Z89</f>
        <v>999999999</v>
      </c>
      <c r="Y89" s="24" t="n">
        <v>0</v>
      </c>
      <c r="Z89" s="25" t="n">
        <v>999999999</v>
      </c>
      <c r="AA89" s="25" t="n">
        <f aca="false">AC89</f>
        <v>999999999</v>
      </c>
      <c r="AB89" s="24" t="n">
        <v>0</v>
      </c>
      <c r="AC89" s="25" t="n">
        <v>999999999</v>
      </c>
      <c r="AD89" s="25" t="n">
        <f aca="false">AF89</f>
        <v>999999999</v>
      </c>
      <c r="AE89" s="24" t="n">
        <v>0</v>
      </c>
      <c r="AF89" s="25" t="n">
        <v>999999999</v>
      </c>
      <c r="AG89" s="25" t="n">
        <v>999999999</v>
      </c>
    </row>
    <row r="90" customFormat="false" ht="15" hidden="false" customHeight="false" outlineLevel="0" collapsed="false">
      <c r="A90" s="20" t="s">
        <v>141</v>
      </c>
      <c r="B90" s="20" t="s">
        <v>115</v>
      </c>
      <c r="C90" s="28" t="str">
        <f aca="false">A90&amp;"|"&amp;B90</f>
        <v>AK|MFJ</v>
      </c>
      <c r="D90" s="24" t="n">
        <v>0</v>
      </c>
      <c r="E90" s="25" t="n">
        <v>0</v>
      </c>
      <c r="F90" s="25" t="n">
        <f aca="false">H90</f>
        <v>999999999</v>
      </c>
      <c r="G90" s="24" t="n">
        <v>0</v>
      </c>
      <c r="H90" s="25" t="n">
        <v>999999999</v>
      </c>
      <c r="I90" s="25" t="n">
        <f aca="false">K90</f>
        <v>999999999</v>
      </c>
      <c r="J90" s="24" t="n">
        <v>0</v>
      </c>
      <c r="K90" s="25" t="n">
        <v>999999999</v>
      </c>
      <c r="L90" s="25" t="n">
        <f aca="false">N90</f>
        <v>999999999</v>
      </c>
      <c r="M90" s="24" t="n">
        <v>0</v>
      </c>
      <c r="N90" s="25" t="n">
        <v>999999999</v>
      </c>
      <c r="O90" s="25" t="n">
        <f aca="false">Q90</f>
        <v>999999999</v>
      </c>
      <c r="P90" s="24" t="n">
        <v>0</v>
      </c>
      <c r="Q90" s="25" t="n">
        <v>999999999</v>
      </c>
      <c r="R90" s="25" t="n">
        <f aca="false">T90</f>
        <v>999999999</v>
      </c>
      <c r="S90" s="24" t="n">
        <v>0</v>
      </c>
      <c r="T90" s="25" t="n">
        <v>999999999</v>
      </c>
      <c r="U90" s="25" t="n">
        <f aca="false">W90</f>
        <v>999999999</v>
      </c>
      <c r="V90" s="24" t="n">
        <v>0</v>
      </c>
      <c r="W90" s="25" t="n">
        <v>999999999</v>
      </c>
      <c r="X90" s="25" t="n">
        <f aca="false">Z90</f>
        <v>999999999</v>
      </c>
      <c r="Y90" s="24" t="n">
        <v>0</v>
      </c>
      <c r="Z90" s="25" t="n">
        <v>999999999</v>
      </c>
      <c r="AA90" s="25" t="n">
        <f aca="false">AC90</f>
        <v>999999999</v>
      </c>
      <c r="AB90" s="24" t="n">
        <v>0</v>
      </c>
      <c r="AC90" s="25" t="n">
        <v>999999999</v>
      </c>
      <c r="AD90" s="25" t="n">
        <f aca="false">AF90</f>
        <v>999999999</v>
      </c>
      <c r="AE90" s="24" t="n">
        <v>0</v>
      </c>
      <c r="AF90" s="25" t="n">
        <v>999999999</v>
      </c>
      <c r="AG90" s="25" t="n">
        <v>999999999</v>
      </c>
    </row>
    <row r="91" customFormat="false" ht="15" hidden="false" customHeight="false" outlineLevel="0" collapsed="false">
      <c r="A91" s="20" t="s">
        <v>146</v>
      </c>
      <c r="B91" s="20" t="s">
        <v>114</v>
      </c>
      <c r="C91" s="28" t="str">
        <f aca="false">A91&amp;"|"&amp;B91</f>
        <v>AZ|Single</v>
      </c>
      <c r="D91" s="24" t="n">
        <v>0.025</v>
      </c>
      <c r="E91" s="25" t="n">
        <v>0</v>
      </c>
      <c r="F91" s="25" t="n">
        <f aca="false">H91</f>
        <v>999999999</v>
      </c>
      <c r="G91" s="24" t="n">
        <v>0</v>
      </c>
      <c r="H91" s="25" t="n">
        <v>999999999</v>
      </c>
      <c r="I91" s="25" t="n">
        <f aca="false">K91</f>
        <v>999999999</v>
      </c>
      <c r="J91" s="24" t="n">
        <v>0</v>
      </c>
      <c r="K91" s="25" t="n">
        <v>999999999</v>
      </c>
      <c r="L91" s="25" t="n">
        <f aca="false">N91</f>
        <v>999999999</v>
      </c>
      <c r="M91" s="24" t="n">
        <v>0</v>
      </c>
      <c r="N91" s="25" t="n">
        <v>999999999</v>
      </c>
      <c r="O91" s="25" t="n">
        <f aca="false">Q91</f>
        <v>999999999</v>
      </c>
      <c r="P91" s="24" t="n">
        <v>0</v>
      </c>
      <c r="Q91" s="25" t="n">
        <v>999999999</v>
      </c>
      <c r="R91" s="25" t="n">
        <f aca="false">T91</f>
        <v>999999999</v>
      </c>
      <c r="S91" s="24" t="n">
        <v>0</v>
      </c>
      <c r="T91" s="25" t="n">
        <v>999999999</v>
      </c>
      <c r="U91" s="25" t="n">
        <f aca="false">W91</f>
        <v>999999999</v>
      </c>
      <c r="V91" s="24" t="n">
        <v>0</v>
      </c>
      <c r="W91" s="25" t="n">
        <v>999999999</v>
      </c>
      <c r="X91" s="25" t="n">
        <f aca="false">Z91</f>
        <v>999999999</v>
      </c>
      <c r="Y91" s="24" t="n">
        <v>0</v>
      </c>
      <c r="Z91" s="25" t="n">
        <v>999999999</v>
      </c>
      <c r="AA91" s="25" t="n">
        <f aca="false">AC91</f>
        <v>999999999</v>
      </c>
      <c r="AB91" s="24" t="n">
        <v>0</v>
      </c>
      <c r="AC91" s="25" t="n">
        <v>999999999</v>
      </c>
      <c r="AD91" s="25" t="n">
        <f aca="false">AF91</f>
        <v>999999999</v>
      </c>
      <c r="AE91" s="24" t="n">
        <v>0</v>
      </c>
      <c r="AF91" s="25" t="n">
        <v>999999999</v>
      </c>
      <c r="AG91" s="25" t="n">
        <v>999999999</v>
      </c>
    </row>
    <row r="92" customFormat="false" ht="15" hidden="false" customHeight="false" outlineLevel="0" collapsed="false">
      <c r="A92" s="20" t="s">
        <v>146</v>
      </c>
      <c r="B92" s="20" t="s">
        <v>115</v>
      </c>
      <c r="C92" s="28" t="str">
        <f aca="false">A92&amp;"|"&amp;B92</f>
        <v>AZ|MFJ</v>
      </c>
      <c r="D92" s="24" t="n">
        <v>0.025</v>
      </c>
      <c r="E92" s="25" t="n">
        <v>0</v>
      </c>
      <c r="F92" s="25" t="n">
        <f aca="false">H92</f>
        <v>999999999</v>
      </c>
      <c r="G92" s="24" t="n">
        <v>0</v>
      </c>
      <c r="H92" s="25" t="n">
        <v>999999999</v>
      </c>
      <c r="I92" s="25" t="n">
        <f aca="false">K92</f>
        <v>999999999</v>
      </c>
      <c r="J92" s="24" t="n">
        <v>0</v>
      </c>
      <c r="K92" s="25" t="n">
        <v>999999999</v>
      </c>
      <c r="L92" s="25" t="n">
        <f aca="false">N92</f>
        <v>999999999</v>
      </c>
      <c r="M92" s="24" t="n">
        <v>0</v>
      </c>
      <c r="N92" s="25" t="n">
        <v>999999999</v>
      </c>
      <c r="O92" s="25" t="n">
        <f aca="false">Q92</f>
        <v>999999999</v>
      </c>
      <c r="P92" s="24" t="n">
        <v>0</v>
      </c>
      <c r="Q92" s="25" t="n">
        <v>999999999</v>
      </c>
      <c r="R92" s="25" t="n">
        <f aca="false">T92</f>
        <v>999999999</v>
      </c>
      <c r="S92" s="24" t="n">
        <v>0</v>
      </c>
      <c r="T92" s="25" t="n">
        <v>999999999</v>
      </c>
      <c r="U92" s="25" t="n">
        <f aca="false">W92</f>
        <v>999999999</v>
      </c>
      <c r="V92" s="24" t="n">
        <v>0</v>
      </c>
      <c r="W92" s="25" t="n">
        <v>999999999</v>
      </c>
      <c r="X92" s="25" t="n">
        <f aca="false">Z92</f>
        <v>999999999</v>
      </c>
      <c r="Y92" s="24" t="n">
        <v>0</v>
      </c>
      <c r="Z92" s="25" t="n">
        <v>999999999</v>
      </c>
      <c r="AA92" s="25" t="n">
        <f aca="false">AC92</f>
        <v>999999999</v>
      </c>
      <c r="AB92" s="24" t="n">
        <v>0</v>
      </c>
      <c r="AC92" s="25" t="n">
        <v>999999999</v>
      </c>
      <c r="AD92" s="25" t="n">
        <f aca="false">AF92</f>
        <v>999999999</v>
      </c>
      <c r="AE92" s="24" t="n">
        <v>0</v>
      </c>
      <c r="AF92" s="25" t="n">
        <v>999999999</v>
      </c>
      <c r="AG92" s="25" t="n">
        <v>999999999</v>
      </c>
    </row>
    <row r="93" customFormat="false" ht="15" hidden="false" customHeight="false" outlineLevel="0" collapsed="false">
      <c r="A93" s="20" t="s">
        <v>151</v>
      </c>
      <c r="B93" s="20" t="s">
        <v>114</v>
      </c>
      <c r="C93" s="28" t="str">
        <f aca="false">A93&amp;"|"&amp;B93</f>
        <v>AR|Single</v>
      </c>
      <c r="D93" s="24" t="n">
        <v>0</v>
      </c>
      <c r="E93" s="25" t="n">
        <v>0</v>
      </c>
      <c r="F93" s="25" t="n">
        <f aca="false">H93</f>
        <v>5100</v>
      </c>
      <c r="G93" s="24" t="n">
        <v>0.02</v>
      </c>
      <c r="H93" s="25" t="n">
        <v>5100</v>
      </c>
      <c r="I93" s="25" t="n">
        <f aca="false">K93</f>
        <v>10600</v>
      </c>
      <c r="J93" s="24" t="n">
        <v>0.039</v>
      </c>
      <c r="K93" s="25" t="n">
        <v>10600</v>
      </c>
      <c r="L93" s="25" t="n">
        <f aca="false">N93</f>
        <v>999999999</v>
      </c>
      <c r="M93" s="24" t="n">
        <v>0</v>
      </c>
      <c r="N93" s="25" t="n">
        <v>999999999</v>
      </c>
      <c r="O93" s="25" t="n">
        <f aca="false">Q93</f>
        <v>999999999</v>
      </c>
      <c r="P93" s="24" t="n">
        <v>0</v>
      </c>
      <c r="Q93" s="25" t="n">
        <v>999999999</v>
      </c>
      <c r="R93" s="25" t="n">
        <f aca="false">T93</f>
        <v>999999999</v>
      </c>
      <c r="S93" s="24" t="n">
        <v>0</v>
      </c>
      <c r="T93" s="25" t="n">
        <v>999999999</v>
      </c>
      <c r="U93" s="25" t="n">
        <f aca="false">W93</f>
        <v>999999999</v>
      </c>
      <c r="V93" s="24" t="n">
        <v>0</v>
      </c>
      <c r="W93" s="25" t="n">
        <v>999999999</v>
      </c>
      <c r="X93" s="25" t="n">
        <f aca="false">Z93</f>
        <v>999999999</v>
      </c>
      <c r="Y93" s="24" t="n">
        <v>0</v>
      </c>
      <c r="Z93" s="25" t="n">
        <v>999999999</v>
      </c>
      <c r="AA93" s="25" t="n">
        <f aca="false">AC93</f>
        <v>999999999</v>
      </c>
      <c r="AB93" s="24" t="n">
        <v>0</v>
      </c>
      <c r="AC93" s="25" t="n">
        <v>999999999</v>
      </c>
      <c r="AD93" s="25" t="n">
        <f aca="false">AF93</f>
        <v>999999999</v>
      </c>
      <c r="AE93" s="24" t="n">
        <v>0</v>
      </c>
      <c r="AF93" s="25" t="n">
        <v>999999999</v>
      </c>
      <c r="AG93" s="25" t="n">
        <v>999999999</v>
      </c>
    </row>
    <row r="94" customFormat="false" ht="15" hidden="false" customHeight="false" outlineLevel="0" collapsed="false">
      <c r="A94" s="20" t="s">
        <v>151</v>
      </c>
      <c r="B94" s="20" t="s">
        <v>115</v>
      </c>
      <c r="C94" s="28" t="str">
        <f aca="false">A94&amp;"|"&amp;B94</f>
        <v>AR|MFJ</v>
      </c>
      <c r="D94" s="24" t="n">
        <v>0</v>
      </c>
      <c r="E94" s="25" t="n">
        <v>0</v>
      </c>
      <c r="F94" s="25" t="n">
        <f aca="false">H94</f>
        <v>5100</v>
      </c>
      <c r="G94" s="24" t="n">
        <v>0.02</v>
      </c>
      <c r="H94" s="25" t="n">
        <v>5100</v>
      </c>
      <c r="I94" s="25" t="n">
        <f aca="false">K94</f>
        <v>10600</v>
      </c>
      <c r="J94" s="24" t="n">
        <v>0.039</v>
      </c>
      <c r="K94" s="25" t="n">
        <v>10600</v>
      </c>
      <c r="L94" s="25" t="n">
        <f aca="false">N94</f>
        <v>999999999</v>
      </c>
      <c r="M94" s="24" t="n">
        <v>0</v>
      </c>
      <c r="N94" s="25" t="n">
        <v>999999999</v>
      </c>
      <c r="O94" s="25" t="n">
        <f aca="false">Q94</f>
        <v>999999999</v>
      </c>
      <c r="P94" s="24" t="n">
        <v>0</v>
      </c>
      <c r="Q94" s="25" t="n">
        <v>999999999</v>
      </c>
      <c r="R94" s="25" t="n">
        <f aca="false">T94</f>
        <v>999999999</v>
      </c>
      <c r="S94" s="24" t="n">
        <v>0</v>
      </c>
      <c r="T94" s="25" t="n">
        <v>999999999</v>
      </c>
      <c r="U94" s="25" t="n">
        <f aca="false">W94</f>
        <v>999999999</v>
      </c>
      <c r="V94" s="24" t="n">
        <v>0</v>
      </c>
      <c r="W94" s="25" t="n">
        <v>999999999</v>
      </c>
      <c r="X94" s="25" t="n">
        <f aca="false">Z94</f>
        <v>999999999</v>
      </c>
      <c r="Y94" s="24" t="n">
        <v>0</v>
      </c>
      <c r="Z94" s="25" t="n">
        <v>999999999</v>
      </c>
      <c r="AA94" s="25" t="n">
        <f aca="false">AC94</f>
        <v>999999999</v>
      </c>
      <c r="AB94" s="24" t="n">
        <v>0</v>
      </c>
      <c r="AC94" s="25" t="n">
        <v>999999999</v>
      </c>
      <c r="AD94" s="25" t="n">
        <f aca="false">AF94</f>
        <v>999999999</v>
      </c>
      <c r="AE94" s="24" t="n">
        <v>0</v>
      </c>
      <c r="AF94" s="25" t="n">
        <v>999999999</v>
      </c>
      <c r="AG94" s="25" t="n">
        <v>999999999</v>
      </c>
    </row>
    <row r="95" customFormat="false" ht="15" hidden="false" customHeight="false" outlineLevel="0" collapsed="false">
      <c r="A95" s="20" t="s">
        <v>154</v>
      </c>
      <c r="B95" s="20" t="s">
        <v>114</v>
      </c>
      <c r="C95" s="28" t="str">
        <f aca="false">A95&amp;"|"&amp;B95</f>
        <v>CA|Single</v>
      </c>
      <c r="D95" s="24" t="n">
        <v>0.01</v>
      </c>
      <c r="E95" s="25" t="n">
        <v>0</v>
      </c>
      <c r="F95" s="25" t="n">
        <f aca="false">H95</f>
        <v>11079</v>
      </c>
      <c r="G95" s="24" t="n">
        <v>0.02</v>
      </c>
      <c r="H95" s="25" t="n">
        <v>11079</v>
      </c>
      <c r="I95" s="25" t="n">
        <f aca="false">K95</f>
        <v>26264</v>
      </c>
      <c r="J95" s="24" t="n">
        <v>0.04</v>
      </c>
      <c r="K95" s="25" t="n">
        <v>26264</v>
      </c>
      <c r="L95" s="25" t="n">
        <f aca="false">N95</f>
        <v>41452</v>
      </c>
      <c r="M95" s="24" t="n">
        <v>0.06</v>
      </c>
      <c r="N95" s="25" t="n">
        <v>41452</v>
      </c>
      <c r="O95" s="25" t="n">
        <f aca="false">Q95</f>
        <v>57542</v>
      </c>
      <c r="P95" s="24" t="n">
        <v>0.08</v>
      </c>
      <c r="Q95" s="25" t="n">
        <v>57542</v>
      </c>
      <c r="R95" s="25" t="n">
        <f aca="false">T95</f>
        <v>72724</v>
      </c>
      <c r="S95" s="24" t="n">
        <v>0.093</v>
      </c>
      <c r="T95" s="25" t="n">
        <v>72724</v>
      </c>
      <c r="U95" s="25" t="n">
        <f aca="false">W95</f>
        <v>371479</v>
      </c>
      <c r="V95" s="24" t="n">
        <v>0.103</v>
      </c>
      <c r="W95" s="25" t="n">
        <v>371479</v>
      </c>
      <c r="X95" s="25" t="n">
        <f aca="false">Z95</f>
        <v>445771</v>
      </c>
      <c r="Y95" s="24" t="n">
        <v>0.113</v>
      </c>
      <c r="Z95" s="25" t="n">
        <v>445771</v>
      </c>
      <c r="AA95" s="25" t="n">
        <f aca="false">AC95</f>
        <v>742953</v>
      </c>
      <c r="AB95" s="24" t="n">
        <v>0.123</v>
      </c>
      <c r="AC95" s="25" t="n">
        <v>742953</v>
      </c>
      <c r="AD95" s="25" t="n">
        <f aca="false">AF95</f>
        <v>1000000</v>
      </c>
      <c r="AE95" s="24" t="n">
        <v>0.133</v>
      </c>
      <c r="AF95" s="25" t="n">
        <v>1000000</v>
      </c>
      <c r="AG95" s="25" t="n">
        <v>999999999</v>
      </c>
    </row>
    <row r="96" customFormat="false" ht="15" hidden="false" customHeight="false" outlineLevel="0" collapsed="false">
      <c r="A96" s="20" t="s">
        <v>154</v>
      </c>
      <c r="B96" s="20" t="s">
        <v>115</v>
      </c>
      <c r="C96" s="28" t="str">
        <f aca="false">A96&amp;"|"&amp;B96</f>
        <v>CA|MFJ</v>
      </c>
      <c r="D96" s="24" t="n">
        <v>0.01</v>
      </c>
      <c r="E96" s="25" t="n">
        <v>0</v>
      </c>
      <c r="F96" s="25" t="n">
        <f aca="false">H96</f>
        <v>22158</v>
      </c>
      <c r="G96" s="24" t="n">
        <v>0.02</v>
      </c>
      <c r="H96" s="25" t="n">
        <v>22158</v>
      </c>
      <c r="I96" s="25" t="n">
        <f aca="false">K96</f>
        <v>52528</v>
      </c>
      <c r="J96" s="24" t="n">
        <v>0.04</v>
      </c>
      <c r="K96" s="25" t="n">
        <v>52528</v>
      </c>
      <c r="L96" s="25" t="n">
        <f aca="false">N96</f>
        <v>82904</v>
      </c>
      <c r="M96" s="24" t="n">
        <v>0.06</v>
      </c>
      <c r="N96" s="25" t="n">
        <v>82904</v>
      </c>
      <c r="O96" s="25" t="n">
        <f aca="false">Q96</f>
        <v>115084</v>
      </c>
      <c r="P96" s="24" t="n">
        <v>0.08</v>
      </c>
      <c r="Q96" s="25" t="n">
        <v>115084</v>
      </c>
      <c r="R96" s="25" t="n">
        <f aca="false">T96</f>
        <v>145448</v>
      </c>
      <c r="S96" s="24" t="n">
        <v>0.093</v>
      </c>
      <c r="T96" s="25" t="n">
        <v>145448</v>
      </c>
      <c r="U96" s="25" t="n">
        <f aca="false">W96</f>
        <v>742958</v>
      </c>
      <c r="V96" s="24" t="n">
        <v>0.103</v>
      </c>
      <c r="W96" s="25" t="n">
        <v>742958</v>
      </c>
      <c r="X96" s="25" t="n">
        <f aca="false">Z96</f>
        <v>891542</v>
      </c>
      <c r="Y96" s="24" t="n">
        <v>0.113</v>
      </c>
      <c r="Z96" s="25" t="n">
        <v>891542</v>
      </c>
      <c r="AA96" s="25" t="n">
        <f aca="false">AC96</f>
        <v>1000000</v>
      </c>
      <c r="AB96" s="24" t="n">
        <v>0.123</v>
      </c>
      <c r="AC96" s="25" t="n">
        <v>1000000</v>
      </c>
      <c r="AD96" s="25" t="n">
        <f aca="false">AF96</f>
        <v>1485906</v>
      </c>
      <c r="AE96" s="24" t="n">
        <v>0.133</v>
      </c>
      <c r="AF96" s="25" t="n">
        <v>1485906</v>
      </c>
      <c r="AG96" s="25" t="n">
        <v>999999999</v>
      </c>
    </row>
    <row r="97" customFormat="false" ht="15" hidden="false" customHeight="false" outlineLevel="0" collapsed="false">
      <c r="A97" s="20" t="s">
        <v>157</v>
      </c>
      <c r="B97" s="20" t="s">
        <v>114</v>
      </c>
      <c r="C97" s="28" t="str">
        <f aca="false">A97&amp;"|"&amp;B97</f>
        <v>CO|Single</v>
      </c>
      <c r="D97" s="24" t="n">
        <v>0.0425</v>
      </c>
      <c r="E97" s="25" t="n">
        <v>0</v>
      </c>
      <c r="F97" s="25" t="n">
        <f aca="false">H97</f>
        <v>999999999</v>
      </c>
      <c r="G97" s="24" t="n">
        <v>0</v>
      </c>
      <c r="H97" s="25" t="n">
        <v>999999999</v>
      </c>
      <c r="I97" s="25" t="n">
        <f aca="false">K97</f>
        <v>999999999</v>
      </c>
      <c r="J97" s="24" t="n">
        <v>0</v>
      </c>
      <c r="K97" s="25" t="n">
        <v>999999999</v>
      </c>
      <c r="L97" s="25" t="n">
        <f aca="false">N97</f>
        <v>999999999</v>
      </c>
      <c r="M97" s="24" t="n">
        <v>0</v>
      </c>
      <c r="N97" s="25" t="n">
        <v>999999999</v>
      </c>
      <c r="O97" s="25" t="n">
        <f aca="false">Q97</f>
        <v>999999999</v>
      </c>
      <c r="P97" s="24" t="n">
        <v>0</v>
      </c>
      <c r="Q97" s="25" t="n">
        <v>999999999</v>
      </c>
      <c r="R97" s="25" t="n">
        <f aca="false">T97</f>
        <v>999999999</v>
      </c>
      <c r="S97" s="24" t="n">
        <v>0</v>
      </c>
      <c r="T97" s="25" t="n">
        <v>999999999</v>
      </c>
      <c r="U97" s="25" t="n">
        <f aca="false">W97</f>
        <v>999999999</v>
      </c>
      <c r="V97" s="24" t="n">
        <v>0</v>
      </c>
      <c r="W97" s="25" t="n">
        <v>999999999</v>
      </c>
      <c r="X97" s="25" t="n">
        <f aca="false">Z97</f>
        <v>999999999</v>
      </c>
      <c r="Y97" s="24" t="n">
        <v>0</v>
      </c>
      <c r="Z97" s="25" t="n">
        <v>999999999</v>
      </c>
      <c r="AA97" s="25" t="n">
        <f aca="false">AC97</f>
        <v>999999999</v>
      </c>
      <c r="AB97" s="24" t="n">
        <v>0</v>
      </c>
      <c r="AC97" s="25" t="n">
        <v>999999999</v>
      </c>
      <c r="AD97" s="25" t="n">
        <f aca="false">AF97</f>
        <v>999999999</v>
      </c>
      <c r="AE97" s="24" t="n">
        <v>0</v>
      </c>
      <c r="AF97" s="25" t="n">
        <v>999999999</v>
      </c>
      <c r="AG97" s="25" t="n">
        <v>999999999</v>
      </c>
    </row>
    <row r="98" customFormat="false" ht="15" hidden="false" customHeight="false" outlineLevel="0" collapsed="false">
      <c r="A98" s="20" t="s">
        <v>157</v>
      </c>
      <c r="B98" s="20" t="s">
        <v>115</v>
      </c>
      <c r="C98" s="28" t="str">
        <f aca="false">A98&amp;"|"&amp;B98</f>
        <v>CO|MFJ</v>
      </c>
      <c r="D98" s="24" t="n">
        <v>0.0425</v>
      </c>
      <c r="E98" s="25" t="n">
        <v>0</v>
      </c>
      <c r="F98" s="25" t="n">
        <f aca="false">H98</f>
        <v>999999999</v>
      </c>
      <c r="G98" s="24" t="n">
        <v>0</v>
      </c>
      <c r="H98" s="25" t="n">
        <v>999999999</v>
      </c>
      <c r="I98" s="25" t="n">
        <f aca="false">K98</f>
        <v>999999999</v>
      </c>
      <c r="J98" s="24" t="n">
        <v>0</v>
      </c>
      <c r="K98" s="25" t="n">
        <v>999999999</v>
      </c>
      <c r="L98" s="25" t="n">
        <f aca="false">N98</f>
        <v>999999999</v>
      </c>
      <c r="M98" s="24" t="n">
        <v>0</v>
      </c>
      <c r="N98" s="25" t="n">
        <v>999999999</v>
      </c>
      <c r="O98" s="25" t="n">
        <f aca="false">Q98</f>
        <v>999999999</v>
      </c>
      <c r="P98" s="24" t="n">
        <v>0</v>
      </c>
      <c r="Q98" s="25" t="n">
        <v>999999999</v>
      </c>
      <c r="R98" s="25" t="n">
        <f aca="false">T98</f>
        <v>999999999</v>
      </c>
      <c r="S98" s="24" t="n">
        <v>0</v>
      </c>
      <c r="T98" s="25" t="n">
        <v>999999999</v>
      </c>
      <c r="U98" s="25" t="n">
        <f aca="false">W98</f>
        <v>999999999</v>
      </c>
      <c r="V98" s="24" t="n">
        <v>0</v>
      </c>
      <c r="W98" s="25" t="n">
        <v>999999999</v>
      </c>
      <c r="X98" s="25" t="n">
        <f aca="false">Z98</f>
        <v>999999999</v>
      </c>
      <c r="Y98" s="24" t="n">
        <v>0</v>
      </c>
      <c r="Z98" s="25" t="n">
        <v>999999999</v>
      </c>
      <c r="AA98" s="25" t="n">
        <f aca="false">AC98</f>
        <v>999999999</v>
      </c>
      <c r="AB98" s="24" t="n">
        <v>0</v>
      </c>
      <c r="AC98" s="25" t="n">
        <v>999999999</v>
      </c>
      <c r="AD98" s="25" t="n">
        <f aca="false">AF98</f>
        <v>999999999</v>
      </c>
      <c r="AE98" s="24" t="n">
        <v>0</v>
      </c>
      <c r="AF98" s="25" t="n">
        <v>999999999</v>
      </c>
      <c r="AG98" s="25" t="n">
        <v>999999999</v>
      </c>
    </row>
    <row r="99" customFormat="false" ht="15" hidden="false" customHeight="false" outlineLevel="0" collapsed="false">
      <c r="A99" s="20" t="s">
        <v>161</v>
      </c>
      <c r="B99" s="20" t="s">
        <v>114</v>
      </c>
      <c r="C99" s="28" t="str">
        <f aca="false">A99&amp;"|"&amp;B99</f>
        <v>CT|Single</v>
      </c>
      <c r="D99" s="24" t="n">
        <v>0.02</v>
      </c>
      <c r="E99" s="25" t="n">
        <v>0</v>
      </c>
      <c r="F99" s="25" t="n">
        <f aca="false">H99</f>
        <v>10000</v>
      </c>
      <c r="G99" s="24" t="n">
        <v>0.045</v>
      </c>
      <c r="H99" s="25" t="n">
        <v>10000</v>
      </c>
      <c r="I99" s="25" t="n">
        <f aca="false">K99</f>
        <v>50000</v>
      </c>
      <c r="J99" s="24" t="n">
        <v>0.055</v>
      </c>
      <c r="K99" s="25" t="n">
        <v>50000</v>
      </c>
      <c r="L99" s="25" t="n">
        <f aca="false">N99</f>
        <v>100000</v>
      </c>
      <c r="M99" s="24" t="n">
        <v>0.06</v>
      </c>
      <c r="N99" s="25" t="n">
        <v>100000</v>
      </c>
      <c r="O99" s="25" t="n">
        <f aca="false">Q99</f>
        <v>200000</v>
      </c>
      <c r="P99" s="24" t="n">
        <v>0.065</v>
      </c>
      <c r="Q99" s="25" t="n">
        <v>200000</v>
      </c>
      <c r="R99" s="25" t="n">
        <f aca="false">T99</f>
        <v>250000</v>
      </c>
      <c r="S99" s="24" t="n">
        <v>0.069</v>
      </c>
      <c r="T99" s="25" t="n">
        <v>250000</v>
      </c>
      <c r="U99" s="25" t="n">
        <f aca="false">W99</f>
        <v>500000</v>
      </c>
      <c r="V99" s="24" t="n">
        <v>0.0699</v>
      </c>
      <c r="W99" s="25" t="n">
        <v>500000</v>
      </c>
      <c r="X99" s="25" t="n">
        <f aca="false">Z99</f>
        <v>999999999</v>
      </c>
      <c r="Y99" s="24" t="n">
        <v>0</v>
      </c>
      <c r="Z99" s="25" t="n">
        <v>999999999</v>
      </c>
      <c r="AA99" s="25" t="n">
        <f aca="false">AC99</f>
        <v>999999999</v>
      </c>
      <c r="AB99" s="24" t="n">
        <v>0</v>
      </c>
      <c r="AC99" s="25" t="n">
        <v>999999999</v>
      </c>
      <c r="AD99" s="25" t="n">
        <f aca="false">AF99</f>
        <v>999999999</v>
      </c>
      <c r="AE99" s="24" t="n">
        <v>0</v>
      </c>
      <c r="AF99" s="25" t="n">
        <v>999999999</v>
      </c>
      <c r="AG99" s="25" t="n">
        <v>999999999</v>
      </c>
    </row>
    <row r="100" customFormat="false" ht="15" hidden="false" customHeight="false" outlineLevel="0" collapsed="false">
      <c r="A100" s="20" t="s">
        <v>161</v>
      </c>
      <c r="B100" s="20" t="s">
        <v>115</v>
      </c>
      <c r="C100" s="28" t="str">
        <f aca="false">A100&amp;"|"&amp;B100</f>
        <v>CT|MFJ</v>
      </c>
      <c r="D100" s="24" t="n">
        <v>0.02</v>
      </c>
      <c r="E100" s="25" t="n">
        <v>0</v>
      </c>
      <c r="F100" s="25" t="n">
        <f aca="false">H100</f>
        <v>20000</v>
      </c>
      <c r="G100" s="24" t="n">
        <v>0.045</v>
      </c>
      <c r="H100" s="25" t="n">
        <v>20000</v>
      </c>
      <c r="I100" s="25" t="n">
        <f aca="false">K100</f>
        <v>100000</v>
      </c>
      <c r="J100" s="24" t="n">
        <v>0.055</v>
      </c>
      <c r="K100" s="25" t="n">
        <v>100000</v>
      </c>
      <c r="L100" s="25" t="n">
        <f aca="false">N100</f>
        <v>200000</v>
      </c>
      <c r="M100" s="24" t="n">
        <v>0.06</v>
      </c>
      <c r="N100" s="25" t="n">
        <v>200000</v>
      </c>
      <c r="O100" s="25" t="n">
        <f aca="false">Q100</f>
        <v>400000</v>
      </c>
      <c r="P100" s="24" t="n">
        <v>0.065</v>
      </c>
      <c r="Q100" s="25" t="n">
        <v>400000</v>
      </c>
      <c r="R100" s="25" t="n">
        <f aca="false">T100</f>
        <v>500000</v>
      </c>
      <c r="S100" s="24" t="n">
        <v>0.069</v>
      </c>
      <c r="T100" s="25" t="n">
        <v>500000</v>
      </c>
      <c r="U100" s="25" t="n">
        <f aca="false">W100</f>
        <v>1000000</v>
      </c>
      <c r="V100" s="24" t="n">
        <v>0.0699</v>
      </c>
      <c r="W100" s="25" t="n">
        <v>1000000</v>
      </c>
      <c r="X100" s="25" t="n">
        <f aca="false">Z100</f>
        <v>999999999</v>
      </c>
      <c r="Y100" s="24" t="n">
        <v>0</v>
      </c>
      <c r="Z100" s="25" t="n">
        <v>999999999</v>
      </c>
      <c r="AA100" s="25" t="n">
        <f aca="false">AC100</f>
        <v>999999999</v>
      </c>
      <c r="AB100" s="24" t="n">
        <v>0</v>
      </c>
      <c r="AC100" s="25" t="n">
        <v>999999999</v>
      </c>
      <c r="AD100" s="25" t="n">
        <f aca="false">AF100</f>
        <v>999999999</v>
      </c>
      <c r="AE100" s="24" t="n">
        <v>0</v>
      </c>
      <c r="AF100" s="25" t="n">
        <v>999999999</v>
      </c>
      <c r="AG100" s="25" t="n">
        <v>999999999</v>
      </c>
    </row>
    <row r="101" customFormat="false" ht="15" hidden="false" customHeight="false" outlineLevel="0" collapsed="false">
      <c r="A101" s="20" t="s">
        <v>164</v>
      </c>
      <c r="B101" s="20" t="s">
        <v>114</v>
      </c>
      <c r="C101" s="28" t="str">
        <f aca="false">A101&amp;"|"&amp;B101</f>
        <v>DE|Single</v>
      </c>
      <c r="D101" s="24" t="n">
        <v>0</v>
      </c>
      <c r="E101" s="25" t="n">
        <v>0</v>
      </c>
      <c r="F101" s="25" t="n">
        <f aca="false">H101</f>
        <v>2000</v>
      </c>
      <c r="G101" s="24" t="n">
        <v>0.022</v>
      </c>
      <c r="H101" s="25" t="n">
        <v>2000</v>
      </c>
      <c r="I101" s="25" t="n">
        <f aca="false">K101</f>
        <v>5000</v>
      </c>
      <c r="J101" s="24" t="n">
        <v>0.039</v>
      </c>
      <c r="K101" s="25" t="n">
        <v>5000</v>
      </c>
      <c r="L101" s="25" t="n">
        <f aca="false">N101</f>
        <v>10000</v>
      </c>
      <c r="M101" s="24" t="n">
        <v>0.048</v>
      </c>
      <c r="N101" s="25" t="n">
        <v>10000</v>
      </c>
      <c r="O101" s="25" t="n">
        <f aca="false">Q101</f>
        <v>20000</v>
      </c>
      <c r="P101" s="24" t="n">
        <v>0.052</v>
      </c>
      <c r="Q101" s="25" t="n">
        <v>20000</v>
      </c>
      <c r="R101" s="25" t="n">
        <f aca="false">T101</f>
        <v>25000</v>
      </c>
      <c r="S101" s="24" t="n">
        <v>0.0555</v>
      </c>
      <c r="T101" s="25" t="n">
        <v>25000</v>
      </c>
      <c r="U101" s="25" t="n">
        <f aca="false">W101</f>
        <v>60000</v>
      </c>
      <c r="V101" s="24" t="n">
        <v>0.066</v>
      </c>
      <c r="W101" s="25" t="n">
        <v>60000</v>
      </c>
      <c r="X101" s="25" t="n">
        <f aca="false">Z101</f>
        <v>999999999</v>
      </c>
      <c r="Y101" s="24" t="n">
        <v>0</v>
      </c>
      <c r="Z101" s="25" t="n">
        <v>999999999</v>
      </c>
      <c r="AA101" s="25" t="n">
        <f aca="false">AC101</f>
        <v>999999999</v>
      </c>
      <c r="AB101" s="24" t="n">
        <v>0</v>
      </c>
      <c r="AC101" s="25" t="n">
        <v>999999999</v>
      </c>
      <c r="AD101" s="25" t="n">
        <f aca="false">AF101</f>
        <v>999999999</v>
      </c>
      <c r="AE101" s="24" t="n">
        <v>0</v>
      </c>
      <c r="AF101" s="25" t="n">
        <v>999999999</v>
      </c>
      <c r="AG101" s="25" t="n">
        <v>999999999</v>
      </c>
    </row>
    <row r="102" customFormat="false" ht="15" hidden="false" customHeight="false" outlineLevel="0" collapsed="false">
      <c r="A102" s="20" t="s">
        <v>164</v>
      </c>
      <c r="B102" s="20" t="s">
        <v>115</v>
      </c>
      <c r="C102" s="28" t="str">
        <f aca="false">A102&amp;"|"&amp;B102</f>
        <v>DE|MFJ</v>
      </c>
      <c r="D102" s="24" t="n">
        <v>0</v>
      </c>
      <c r="E102" s="25" t="n">
        <v>0</v>
      </c>
      <c r="F102" s="25" t="n">
        <f aca="false">H102</f>
        <v>2000</v>
      </c>
      <c r="G102" s="24" t="n">
        <v>0.022</v>
      </c>
      <c r="H102" s="25" t="n">
        <v>2000</v>
      </c>
      <c r="I102" s="25" t="n">
        <f aca="false">K102</f>
        <v>5000</v>
      </c>
      <c r="J102" s="24" t="n">
        <v>0.039</v>
      </c>
      <c r="K102" s="25" t="n">
        <v>5000</v>
      </c>
      <c r="L102" s="25" t="n">
        <f aca="false">N102</f>
        <v>10000</v>
      </c>
      <c r="M102" s="24" t="n">
        <v>0.048</v>
      </c>
      <c r="N102" s="25" t="n">
        <v>10000</v>
      </c>
      <c r="O102" s="25" t="n">
        <f aca="false">Q102</f>
        <v>20000</v>
      </c>
      <c r="P102" s="24" t="n">
        <v>0.052</v>
      </c>
      <c r="Q102" s="25" t="n">
        <v>20000</v>
      </c>
      <c r="R102" s="25" t="n">
        <f aca="false">T102</f>
        <v>25000</v>
      </c>
      <c r="S102" s="24" t="n">
        <v>0.0555</v>
      </c>
      <c r="T102" s="25" t="n">
        <v>25000</v>
      </c>
      <c r="U102" s="25" t="n">
        <f aca="false">W102</f>
        <v>60000</v>
      </c>
      <c r="V102" s="24" t="n">
        <v>0.066</v>
      </c>
      <c r="W102" s="25" t="n">
        <v>60000</v>
      </c>
      <c r="X102" s="25" t="n">
        <f aca="false">Z102</f>
        <v>999999999</v>
      </c>
      <c r="Y102" s="24" t="n">
        <v>0</v>
      </c>
      <c r="Z102" s="25" t="n">
        <v>999999999</v>
      </c>
      <c r="AA102" s="25" t="n">
        <f aca="false">AC102</f>
        <v>999999999</v>
      </c>
      <c r="AB102" s="24" t="n">
        <v>0</v>
      </c>
      <c r="AC102" s="25" t="n">
        <v>999999999</v>
      </c>
      <c r="AD102" s="25" t="n">
        <f aca="false">AF102</f>
        <v>999999999</v>
      </c>
      <c r="AE102" s="24" t="n">
        <v>0</v>
      </c>
      <c r="AF102" s="25" t="n">
        <v>999999999</v>
      </c>
      <c r="AG102" s="25" t="n">
        <v>999999999</v>
      </c>
    </row>
    <row r="103" customFormat="false" ht="15" hidden="false" customHeight="false" outlineLevel="0" collapsed="false">
      <c r="A103" s="20" t="s">
        <v>167</v>
      </c>
      <c r="B103" s="20" t="s">
        <v>114</v>
      </c>
      <c r="C103" s="28" t="str">
        <f aca="false">A103&amp;"|"&amp;B103</f>
        <v>DC|Single</v>
      </c>
      <c r="D103" s="24" t="n">
        <v>0.04</v>
      </c>
      <c r="E103" s="25" t="n">
        <v>0</v>
      </c>
      <c r="F103" s="25" t="n">
        <f aca="false">H103</f>
        <v>10000</v>
      </c>
      <c r="G103" s="24" t="n">
        <v>0.06</v>
      </c>
      <c r="H103" s="25" t="n">
        <v>10000</v>
      </c>
      <c r="I103" s="25" t="n">
        <f aca="false">K103</f>
        <v>40000</v>
      </c>
      <c r="J103" s="24" t="n">
        <v>0.065</v>
      </c>
      <c r="K103" s="25" t="n">
        <v>40000</v>
      </c>
      <c r="L103" s="25" t="n">
        <f aca="false">N103</f>
        <v>60000</v>
      </c>
      <c r="M103" s="24" t="n">
        <v>0.085</v>
      </c>
      <c r="N103" s="25" t="n">
        <v>60000</v>
      </c>
      <c r="O103" s="25" t="n">
        <f aca="false">Q103</f>
        <v>250000</v>
      </c>
      <c r="P103" s="24" t="n">
        <v>0.0925</v>
      </c>
      <c r="Q103" s="25" t="n">
        <v>250000</v>
      </c>
      <c r="R103" s="25" t="n">
        <f aca="false">T103</f>
        <v>500000</v>
      </c>
      <c r="S103" s="24" t="n">
        <v>0.0975</v>
      </c>
      <c r="T103" s="25" t="n">
        <v>500000</v>
      </c>
      <c r="U103" s="25" t="n">
        <f aca="false">W103</f>
        <v>1000000</v>
      </c>
      <c r="V103" s="24" t="n">
        <v>0.1075</v>
      </c>
      <c r="W103" s="25" t="n">
        <v>1000000</v>
      </c>
      <c r="X103" s="25" t="n">
        <f aca="false">Z103</f>
        <v>999999999</v>
      </c>
      <c r="Y103" s="24" t="n">
        <v>0</v>
      </c>
      <c r="Z103" s="25" t="n">
        <v>999999999</v>
      </c>
      <c r="AA103" s="25" t="n">
        <f aca="false">AC103</f>
        <v>999999999</v>
      </c>
      <c r="AB103" s="24" t="n">
        <v>0</v>
      </c>
      <c r="AC103" s="25" t="n">
        <v>999999999</v>
      </c>
      <c r="AD103" s="25" t="n">
        <f aca="false">AF103</f>
        <v>999999999</v>
      </c>
      <c r="AE103" s="24" t="n">
        <v>0</v>
      </c>
      <c r="AF103" s="25" t="n">
        <v>999999999</v>
      </c>
      <c r="AG103" s="25" t="n">
        <v>999999999</v>
      </c>
    </row>
    <row r="104" customFormat="false" ht="15" hidden="false" customHeight="false" outlineLevel="0" collapsed="false">
      <c r="A104" s="20" t="s">
        <v>167</v>
      </c>
      <c r="B104" s="20" t="s">
        <v>115</v>
      </c>
      <c r="C104" s="28" t="str">
        <f aca="false">A104&amp;"|"&amp;B104</f>
        <v>DC|MFJ</v>
      </c>
      <c r="D104" s="24" t="n">
        <v>0.04</v>
      </c>
      <c r="E104" s="25" t="n">
        <v>0</v>
      </c>
      <c r="F104" s="25" t="n">
        <f aca="false">H104</f>
        <v>10000</v>
      </c>
      <c r="G104" s="24" t="n">
        <v>0.06</v>
      </c>
      <c r="H104" s="25" t="n">
        <v>10000</v>
      </c>
      <c r="I104" s="25" t="n">
        <f aca="false">K104</f>
        <v>40000</v>
      </c>
      <c r="J104" s="24" t="n">
        <v>0.065</v>
      </c>
      <c r="K104" s="25" t="n">
        <v>40000</v>
      </c>
      <c r="L104" s="25" t="n">
        <f aca="false">N104</f>
        <v>60000</v>
      </c>
      <c r="M104" s="24" t="n">
        <v>0.085</v>
      </c>
      <c r="N104" s="25" t="n">
        <v>60000</v>
      </c>
      <c r="O104" s="25" t="n">
        <f aca="false">Q104</f>
        <v>250000</v>
      </c>
      <c r="P104" s="24" t="n">
        <v>0.0925</v>
      </c>
      <c r="Q104" s="25" t="n">
        <v>250000</v>
      </c>
      <c r="R104" s="25" t="n">
        <f aca="false">T104</f>
        <v>500000</v>
      </c>
      <c r="S104" s="24" t="n">
        <v>0.0975</v>
      </c>
      <c r="T104" s="25" t="n">
        <v>500000</v>
      </c>
      <c r="U104" s="25" t="n">
        <f aca="false">W104</f>
        <v>1000000</v>
      </c>
      <c r="V104" s="24" t="n">
        <v>0.1075</v>
      </c>
      <c r="W104" s="25" t="n">
        <v>1000000</v>
      </c>
      <c r="X104" s="25" t="n">
        <f aca="false">Z104</f>
        <v>999999999</v>
      </c>
      <c r="Y104" s="24" t="n">
        <v>0</v>
      </c>
      <c r="Z104" s="25" t="n">
        <v>999999999</v>
      </c>
      <c r="AA104" s="25" t="n">
        <f aca="false">AC104</f>
        <v>999999999</v>
      </c>
      <c r="AB104" s="24" t="n">
        <v>0</v>
      </c>
      <c r="AC104" s="25" t="n">
        <v>999999999</v>
      </c>
      <c r="AD104" s="25" t="n">
        <f aca="false">AF104</f>
        <v>999999999</v>
      </c>
      <c r="AE104" s="24" t="n">
        <v>0</v>
      </c>
      <c r="AF104" s="25" t="n">
        <v>999999999</v>
      </c>
      <c r="AG104" s="25" t="n">
        <v>999999999</v>
      </c>
    </row>
    <row r="105" customFormat="false" ht="15" hidden="false" customHeight="false" outlineLevel="0" collapsed="false">
      <c r="A105" s="20" t="s">
        <v>169</v>
      </c>
      <c r="B105" s="20" t="s">
        <v>114</v>
      </c>
      <c r="C105" s="28" t="str">
        <f aca="false">A105&amp;"|"&amp;B105</f>
        <v>FL|Single</v>
      </c>
      <c r="D105" s="24" t="n">
        <v>0</v>
      </c>
      <c r="E105" s="25" t="n">
        <v>0</v>
      </c>
      <c r="F105" s="25" t="n">
        <f aca="false">H105</f>
        <v>999999999</v>
      </c>
      <c r="G105" s="24" t="n">
        <v>0</v>
      </c>
      <c r="H105" s="25" t="n">
        <v>999999999</v>
      </c>
      <c r="I105" s="25" t="n">
        <f aca="false">K105</f>
        <v>999999999</v>
      </c>
      <c r="J105" s="24" t="n">
        <v>0</v>
      </c>
      <c r="K105" s="25" t="n">
        <v>999999999</v>
      </c>
      <c r="L105" s="25" t="n">
        <f aca="false">N105</f>
        <v>999999999</v>
      </c>
      <c r="M105" s="24" t="n">
        <v>0</v>
      </c>
      <c r="N105" s="25" t="n">
        <v>999999999</v>
      </c>
      <c r="O105" s="25" t="n">
        <f aca="false">Q105</f>
        <v>999999999</v>
      </c>
      <c r="P105" s="24" t="n">
        <v>0</v>
      </c>
      <c r="Q105" s="25" t="n">
        <v>999999999</v>
      </c>
      <c r="R105" s="25" t="n">
        <f aca="false">T105</f>
        <v>999999999</v>
      </c>
      <c r="S105" s="24" t="n">
        <v>0</v>
      </c>
      <c r="T105" s="25" t="n">
        <v>999999999</v>
      </c>
      <c r="U105" s="25" t="n">
        <f aca="false">W105</f>
        <v>999999999</v>
      </c>
      <c r="V105" s="24" t="n">
        <v>0</v>
      </c>
      <c r="W105" s="25" t="n">
        <v>999999999</v>
      </c>
      <c r="X105" s="25" t="n">
        <f aca="false">Z105</f>
        <v>999999999</v>
      </c>
      <c r="Y105" s="24" t="n">
        <v>0</v>
      </c>
      <c r="Z105" s="25" t="n">
        <v>999999999</v>
      </c>
      <c r="AA105" s="25" t="n">
        <f aca="false">AC105</f>
        <v>999999999</v>
      </c>
      <c r="AB105" s="24" t="n">
        <v>0</v>
      </c>
      <c r="AC105" s="25" t="n">
        <v>999999999</v>
      </c>
      <c r="AD105" s="25" t="n">
        <f aca="false">AF105</f>
        <v>999999999</v>
      </c>
      <c r="AE105" s="24" t="n">
        <v>0</v>
      </c>
      <c r="AF105" s="25" t="n">
        <v>999999999</v>
      </c>
      <c r="AG105" s="25" t="n">
        <v>999999999</v>
      </c>
    </row>
    <row r="106" customFormat="false" ht="15" hidden="false" customHeight="false" outlineLevel="0" collapsed="false">
      <c r="A106" s="20" t="s">
        <v>169</v>
      </c>
      <c r="B106" s="20" t="s">
        <v>115</v>
      </c>
      <c r="C106" s="28" t="str">
        <f aca="false">A106&amp;"|"&amp;B106</f>
        <v>FL|MFJ</v>
      </c>
      <c r="D106" s="24" t="n">
        <v>0</v>
      </c>
      <c r="E106" s="25" t="n">
        <v>0</v>
      </c>
      <c r="F106" s="25" t="n">
        <f aca="false">H106</f>
        <v>999999999</v>
      </c>
      <c r="G106" s="24" t="n">
        <v>0</v>
      </c>
      <c r="H106" s="25" t="n">
        <v>999999999</v>
      </c>
      <c r="I106" s="25" t="n">
        <f aca="false">K106</f>
        <v>999999999</v>
      </c>
      <c r="J106" s="24" t="n">
        <v>0</v>
      </c>
      <c r="K106" s="25" t="n">
        <v>999999999</v>
      </c>
      <c r="L106" s="25" t="n">
        <f aca="false">N106</f>
        <v>999999999</v>
      </c>
      <c r="M106" s="24" t="n">
        <v>0</v>
      </c>
      <c r="N106" s="25" t="n">
        <v>999999999</v>
      </c>
      <c r="O106" s="25" t="n">
        <f aca="false">Q106</f>
        <v>999999999</v>
      </c>
      <c r="P106" s="24" t="n">
        <v>0</v>
      </c>
      <c r="Q106" s="25" t="n">
        <v>999999999</v>
      </c>
      <c r="R106" s="25" t="n">
        <f aca="false">T106</f>
        <v>999999999</v>
      </c>
      <c r="S106" s="24" t="n">
        <v>0</v>
      </c>
      <c r="T106" s="25" t="n">
        <v>999999999</v>
      </c>
      <c r="U106" s="25" t="n">
        <f aca="false">W106</f>
        <v>999999999</v>
      </c>
      <c r="V106" s="24" t="n">
        <v>0</v>
      </c>
      <c r="W106" s="25" t="n">
        <v>999999999</v>
      </c>
      <c r="X106" s="25" t="n">
        <f aca="false">Z106</f>
        <v>999999999</v>
      </c>
      <c r="Y106" s="24" t="n">
        <v>0</v>
      </c>
      <c r="Z106" s="25" t="n">
        <v>999999999</v>
      </c>
      <c r="AA106" s="25" t="n">
        <f aca="false">AC106</f>
        <v>999999999</v>
      </c>
      <c r="AB106" s="24" t="n">
        <v>0</v>
      </c>
      <c r="AC106" s="25" t="n">
        <v>999999999</v>
      </c>
      <c r="AD106" s="25" t="n">
        <f aca="false">AF106</f>
        <v>999999999</v>
      </c>
      <c r="AE106" s="24" t="n">
        <v>0</v>
      </c>
      <c r="AF106" s="25" t="n">
        <v>999999999</v>
      </c>
      <c r="AG106" s="25" t="n">
        <v>999999999</v>
      </c>
    </row>
    <row r="107" customFormat="false" ht="15" hidden="false" customHeight="false" outlineLevel="0" collapsed="false">
      <c r="A107" s="20" t="s">
        <v>171</v>
      </c>
      <c r="B107" s="20" t="s">
        <v>114</v>
      </c>
      <c r="C107" s="28" t="str">
        <f aca="false">A107&amp;"|"&amp;B107</f>
        <v>GA|Single</v>
      </c>
      <c r="D107" s="24" t="n">
        <v>0.0519</v>
      </c>
      <c r="E107" s="25" t="n">
        <v>0</v>
      </c>
      <c r="F107" s="25" t="n">
        <f aca="false">H107</f>
        <v>999999999</v>
      </c>
      <c r="G107" s="24" t="n">
        <v>0</v>
      </c>
      <c r="H107" s="25" t="n">
        <v>999999999</v>
      </c>
      <c r="I107" s="25" t="n">
        <f aca="false">K107</f>
        <v>999999999</v>
      </c>
      <c r="J107" s="24" t="n">
        <v>0</v>
      </c>
      <c r="K107" s="25" t="n">
        <v>999999999</v>
      </c>
      <c r="L107" s="25" t="n">
        <f aca="false">N107</f>
        <v>999999999</v>
      </c>
      <c r="M107" s="24" t="n">
        <v>0</v>
      </c>
      <c r="N107" s="25" t="n">
        <v>999999999</v>
      </c>
      <c r="O107" s="25" t="n">
        <f aca="false">Q107</f>
        <v>999999999</v>
      </c>
      <c r="P107" s="24" t="n">
        <v>0</v>
      </c>
      <c r="Q107" s="25" t="n">
        <v>999999999</v>
      </c>
      <c r="R107" s="25" t="n">
        <f aca="false">T107</f>
        <v>999999999</v>
      </c>
      <c r="S107" s="24" t="n">
        <v>0</v>
      </c>
      <c r="T107" s="25" t="n">
        <v>999999999</v>
      </c>
      <c r="U107" s="25" t="n">
        <f aca="false">W107</f>
        <v>999999999</v>
      </c>
      <c r="V107" s="24" t="n">
        <v>0</v>
      </c>
      <c r="W107" s="25" t="n">
        <v>999999999</v>
      </c>
      <c r="X107" s="25" t="n">
        <f aca="false">Z107</f>
        <v>999999999</v>
      </c>
      <c r="Y107" s="24" t="n">
        <v>0</v>
      </c>
      <c r="Z107" s="25" t="n">
        <v>999999999</v>
      </c>
      <c r="AA107" s="25" t="n">
        <f aca="false">AC107</f>
        <v>999999999</v>
      </c>
      <c r="AB107" s="24" t="n">
        <v>0</v>
      </c>
      <c r="AC107" s="25" t="n">
        <v>999999999</v>
      </c>
      <c r="AD107" s="25" t="n">
        <f aca="false">AF107</f>
        <v>999999999</v>
      </c>
      <c r="AE107" s="24" t="n">
        <v>0</v>
      </c>
      <c r="AF107" s="25" t="n">
        <v>999999999</v>
      </c>
      <c r="AG107" s="25" t="n">
        <v>999999999</v>
      </c>
    </row>
    <row r="108" customFormat="false" ht="15" hidden="false" customHeight="false" outlineLevel="0" collapsed="false">
      <c r="A108" s="20" t="s">
        <v>171</v>
      </c>
      <c r="B108" s="20" t="s">
        <v>115</v>
      </c>
      <c r="C108" s="28" t="str">
        <f aca="false">A108&amp;"|"&amp;B108</f>
        <v>GA|MFJ</v>
      </c>
      <c r="D108" s="24" t="n">
        <v>0.0519</v>
      </c>
      <c r="E108" s="25" t="n">
        <v>0</v>
      </c>
      <c r="F108" s="25" t="n">
        <f aca="false">H108</f>
        <v>999999999</v>
      </c>
      <c r="G108" s="24" t="n">
        <v>0</v>
      </c>
      <c r="H108" s="25" t="n">
        <v>999999999</v>
      </c>
      <c r="I108" s="25" t="n">
        <f aca="false">K108</f>
        <v>999999999</v>
      </c>
      <c r="J108" s="24" t="n">
        <v>0</v>
      </c>
      <c r="K108" s="25" t="n">
        <v>999999999</v>
      </c>
      <c r="L108" s="25" t="n">
        <f aca="false">N108</f>
        <v>999999999</v>
      </c>
      <c r="M108" s="24" t="n">
        <v>0</v>
      </c>
      <c r="N108" s="25" t="n">
        <v>999999999</v>
      </c>
      <c r="O108" s="25" t="n">
        <f aca="false">Q108</f>
        <v>999999999</v>
      </c>
      <c r="P108" s="24" t="n">
        <v>0</v>
      </c>
      <c r="Q108" s="25" t="n">
        <v>999999999</v>
      </c>
      <c r="R108" s="25" t="n">
        <f aca="false">T108</f>
        <v>999999999</v>
      </c>
      <c r="S108" s="24" t="n">
        <v>0</v>
      </c>
      <c r="T108" s="25" t="n">
        <v>999999999</v>
      </c>
      <c r="U108" s="25" t="n">
        <f aca="false">W108</f>
        <v>999999999</v>
      </c>
      <c r="V108" s="24" t="n">
        <v>0</v>
      </c>
      <c r="W108" s="25" t="n">
        <v>999999999</v>
      </c>
      <c r="X108" s="25" t="n">
        <f aca="false">Z108</f>
        <v>999999999</v>
      </c>
      <c r="Y108" s="24" t="n">
        <v>0</v>
      </c>
      <c r="Z108" s="25" t="n">
        <v>999999999</v>
      </c>
      <c r="AA108" s="25" t="n">
        <f aca="false">AC108</f>
        <v>999999999</v>
      </c>
      <c r="AB108" s="24" t="n">
        <v>0</v>
      </c>
      <c r="AC108" s="25" t="n">
        <v>999999999</v>
      </c>
      <c r="AD108" s="25" t="n">
        <f aca="false">AF108</f>
        <v>999999999</v>
      </c>
      <c r="AE108" s="24" t="n">
        <v>0</v>
      </c>
      <c r="AF108" s="25" t="n">
        <v>999999999</v>
      </c>
      <c r="AG108" s="25" t="n">
        <v>999999999</v>
      </c>
    </row>
    <row r="109" customFormat="false" ht="15" hidden="false" customHeight="false" outlineLevel="0" collapsed="false">
      <c r="A109" s="20" t="s">
        <v>175</v>
      </c>
      <c r="B109" s="20" t="s">
        <v>114</v>
      </c>
      <c r="C109" s="28" t="str">
        <f aca="false">A109&amp;"|"&amp;B109</f>
        <v>HI|Single</v>
      </c>
      <c r="D109" s="24" t="n">
        <v>0.014</v>
      </c>
      <c r="E109" s="25" t="n">
        <v>0</v>
      </c>
      <c r="F109" s="25" t="n">
        <f aca="false">H109</f>
        <v>9600</v>
      </c>
      <c r="G109" s="24" t="n">
        <v>0.032</v>
      </c>
      <c r="H109" s="25" t="n">
        <v>9600</v>
      </c>
      <c r="I109" s="25" t="n">
        <f aca="false">K109</f>
        <v>14400</v>
      </c>
      <c r="J109" s="24" t="n">
        <v>0.055</v>
      </c>
      <c r="K109" s="25" t="n">
        <v>14400</v>
      </c>
      <c r="L109" s="25" t="n">
        <f aca="false">N109</f>
        <v>19200</v>
      </c>
      <c r="M109" s="24" t="n">
        <v>0.064</v>
      </c>
      <c r="N109" s="25" t="n">
        <v>19200</v>
      </c>
      <c r="O109" s="25" t="n">
        <f aca="false">Q109</f>
        <v>24000</v>
      </c>
      <c r="P109" s="24" t="n">
        <v>0.068</v>
      </c>
      <c r="Q109" s="25" t="n">
        <v>24000</v>
      </c>
      <c r="R109" s="25" t="n">
        <f aca="false">T109</f>
        <v>36000</v>
      </c>
      <c r="S109" s="24" t="n">
        <v>0.079</v>
      </c>
      <c r="T109" s="25" t="n">
        <v>36000</v>
      </c>
      <c r="U109" s="25" t="n">
        <f aca="false">W109</f>
        <v>80000</v>
      </c>
      <c r="V109" s="24" t="n">
        <v>0.09</v>
      </c>
      <c r="W109" s="25" t="n">
        <v>80000</v>
      </c>
      <c r="X109" s="25" t="n">
        <f aca="false">Z109</f>
        <v>140000</v>
      </c>
      <c r="Y109" s="24" t="n">
        <v>0.1</v>
      </c>
      <c r="Z109" s="25" t="n">
        <v>140000</v>
      </c>
      <c r="AA109" s="25" t="n">
        <f aca="false">AC109</f>
        <v>325000</v>
      </c>
      <c r="AB109" s="24" t="n">
        <v>0.11</v>
      </c>
      <c r="AC109" s="25" t="n">
        <v>325000</v>
      </c>
      <c r="AD109" s="25" t="n">
        <f aca="false">AF109</f>
        <v>999999999</v>
      </c>
      <c r="AE109" s="24" t="n">
        <v>0</v>
      </c>
      <c r="AF109" s="25" t="n">
        <v>999999999</v>
      </c>
      <c r="AG109" s="25" t="n">
        <v>999999999</v>
      </c>
    </row>
    <row r="110" customFormat="false" ht="15" hidden="false" customHeight="false" outlineLevel="0" collapsed="false">
      <c r="A110" s="20" t="s">
        <v>175</v>
      </c>
      <c r="B110" s="20" t="s">
        <v>115</v>
      </c>
      <c r="C110" s="28" t="str">
        <f aca="false">A110&amp;"|"&amp;B110</f>
        <v>HI|MFJ</v>
      </c>
      <c r="D110" s="24" t="n">
        <v>0.014</v>
      </c>
      <c r="E110" s="25" t="n">
        <v>0</v>
      </c>
      <c r="F110" s="25" t="n">
        <f aca="false">H110</f>
        <v>19200</v>
      </c>
      <c r="G110" s="24" t="n">
        <v>0.032</v>
      </c>
      <c r="H110" s="25" t="n">
        <v>19200</v>
      </c>
      <c r="I110" s="25" t="n">
        <f aca="false">K110</f>
        <v>28800</v>
      </c>
      <c r="J110" s="24" t="n">
        <v>0.055</v>
      </c>
      <c r="K110" s="25" t="n">
        <v>28800</v>
      </c>
      <c r="L110" s="25" t="n">
        <f aca="false">N110</f>
        <v>38400</v>
      </c>
      <c r="M110" s="24" t="n">
        <v>0.064</v>
      </c>
      <c r="N110" s="25" t="n">
        <v>38400</v>
      </c>
      <c r="O110" s="25" t="n">
        <f aca="false">Q110</f>
        <v>48000</v>
      </c>
      <c r="P110" s="24" t="n">
        <v>0.068</v>
      </c>
      <c r="Q110" s="25" t="n">
        <v>48000</v>
      </c>
      <c r="R110" s="25" t="n">
        <f aca="false">T110</f>
        <v>72000</v>
      </c>
      <c r="S110" s="24" t="n">
        <v>0.079</v>
      </c>
      <c r="T110" s="25" t="n">
        <v>72000</v>
      </c>
      <c r="U110" s="25" t="n">
        <f aca="false">W110</f>
        <v>160000</v>
      </c>
      <c r="V110" s="24" t="n">
        <v>0.09</v>
      </c>
      <c r="W110" s="25" t="n">
        <v>160000</v>
      </c>
      <c r="X110" s="25" t="n">
        <f aca="false">Z110</f>
        <v>280000</v>
      </c>
      <c r="Y110" s="24" t="n">
        <v>0.1</v>
      </c>
      <c r="Z110" s="25" t="n">
        <v>280000</v>
      </c>
      <c r="AA110" s="25" t="n">
        <f aca="false">AC110</f>
        <v>650000</v>
      </c>
      <c r="AB110" s="24" t="n">
        <v>0.11</v>
      </c>
      <c r="AC110" s="25" t="n">
        <v>650000</v>
      </c>
      <c r="AD110" s="25" t="n">
        <f aca="false">AF110</f>
        <v>999999999</v>
      </c>
      <c r="AE110" s="24" t="n">
        <v>0</v>
      </c>
      <c r="AF110" s="25" t="n">
        <v>999999999</v>
      </c>
      <c r="AG110" s="25" t="n">
        <v>999999999</v>
      </c>
    </row>
    <row r="111" customFormat="false" ht="15" hidden="false" customHeight="false" outlineLevel="0" collapsed="false">
      <c r="A111" s="20" t="s">
        <v>178</v>
      </c>
      <c r="B111" s="20" t="s">
        <v>114</v>
      </c>
      <c r="C111" s="28" t="str">
        <f aca="false">A111&amp;"|"&amp;B111</f>
        <v>ID|Single</v>
      </c>
      <c r="D111" s="24" t="n">
        <v>0.053</v>
      </c>
      <c r="E111" s="25" t="n">
        <v>0</v>
      </c>
      <c r="F111" s="25" t="n">
        <f aca="false">H111</f>
        <v>999999999</v>
      </c>
      <c r="G111" s="24" t="n">
        <v>0</v>
      </c>
      <c r="H111" s="25" t="n">
        <v>999999999</v>
      </c>
      <c r="I111" s="25" t="n">
        <f aca="false">K111</f>
        <v>999999999</v>
      </c>
      <c r="J111" s="24" t="n">
        <v>0</v>
      </c>
      <c r="K111" s="25" t="n">
        <v>999999999</v>
      </c>
      <c r="L111" s="25" t="n">
        <f aca="false">N111</f>
        <v>999999999</v>
      </c>
      <c r="M111" s="24" t="n">
        <v>0</v>
      </c>
      <c r="N111" s="25" t="n">
        <v>999999999</v>
      </c>
      <c r="O111" s="25" t="n">
        <f aca="false">Q111</f>
        <v>999999999</v>
      </c>
      <c r="P111" s="24" t="n">
        <v>0</v>
      </c>
      <c r="Q111" s="25" t="n">
        <v>999999999</v>
      </c>
      <c r="R111" s="25" t="n">
        <f aca="false">T111</f>
        <v>999999999</v>
      </c>
      <c r="S111" s="24" t="n">
        <v>0</v>
      </c>
      <c r="T111" s="25" t="n">
        <v>999999999</v>
      </c>
      <c r="U111" s="25" t="n">
        <f aca="false">W111</f>
        <v>999999999</v>
      </c>
      <c r="V111" s="24" t="n">
        <v>0</v>
      </c>
      <c r="W111" s="25" t="n">
        <v>999999999</v>
      </c>
      <c r="X111" s="25" t="n">
        <f aca="false">Z111</f>
        <v>999999999</v>
      </c>
      <c r="Y111" s="24" t="n">
        <v>0</v>
      </c>
      <c r="Z111" s="25" t="n">
        <v>999999999</v>
      </c>
      <c r="AA111" s="25" t="n">
        <f aca="false">AC111</f>
        <v>999999999</v>
      </c>
      <c r="AB111" s="24" t="n">
        <v>0</v>
      </c>
      <c r="AC111" s="25" t="n">
        <v>999999999</v>
      </c>
      <c r="AD111" s="25" t="n">
        <f aca="false">AF111</f>
        <v>999999999</v>
      </c>
      <c r="AE111" s="24" t="n">
        <v>0</v>
      </c>
      <c r="AF111" s="25" t="n">
        <v>999999999</v>
      </c>
      <c r="AG111" s="25" t="n">
        <v>999999999</v>
      </c>
    </row>
    <row r="112" customFormat="false" ht="15" hidden="false" customHeight="false" outlineLevel="0" collapsed="false">
      <c r="A112" s="20" t="s">
        <v>178</v>
      </c>
      <c r="B112" s="20" t="s">
        <v>115</v>
      </c>
      <c r="C112" s="28" t="str">
        <f aca="false">A112&amp;"|"&amp;B112</f>
        <v>ID|MFJ</v>
      </c>
      <c r="D112" s="24" t="n">
        <v>0.053</v>
      </c>
      <c r="E112" s="25" t="n">
        <v>0</v>
      </c>
      <c r="F112" s="25" t="n">
        <f aca="false">H112</f>
        <v>999999999</v>
      </c>
      <c r="G112" s="24" t="n">
        <v>0</v>
      </c>
      <c r="H112" s="25" t="n">
        <v>999999999</v>
      </c>
      <c r="I112" s="25" t="n">
        <f aca="false">K112</f>
        <v>999999999</v>
      </c>
      <c r="J112" s="24" t="n">
        <v>0</v>
      </c>
      <c r="K112" s="25" t="n">
        <v>999999999</v>
      </c>
      <c r="L112" s="25" t="n">
        <f aca="false">N112</f>
        <v>999999999</v>
      </c>
      <c r="M112" s="24" t="n">
        <v>0</v>
      </c>
      <c r="N112" s="25" t="n">
        <v>999999999</v>
      </c>
      <c r="O112" s="25" t="n">
        <f aca="false">Q112</f>
        <v>999999999</v>
      </c>
      <c r="P112" s="24" t="n">
        <v>0</v>
      </c>
      <c r="Q112" s="25" t="n">
        <v>999999999</v>
      </c>
      <c r="R112" s="25" t="n">
        <f aca="false">T112</f>
        <v>999999999</v>
      </c>
      <c r="S112" s="24" t="n">
        <v>0</v>
      </c>
      <c r="T112" s="25" t="n">
        <v>999999999</v>
      </c>
      <c r="U112" s="25" t="n">
        <f aca="false">W112</f>
        <v>999999999</v>
      </c>
      <c r="V112" s="24" t="n">
        <v>0</v>
      </c>
      <c r="W112" s="25" t="n">
        <v>999999999</v>
      </c>
      <c r="X112" s="25" t="n">
        <f aca="false">Z112</f>
        <v>999999999</v>
      </c>
      <c r="Y112" s="24" t="n">
        <v>0</v>
      </c>
      <c r="Z112" s="25" t="n">
        <v>999999999</v>
      </c>
      <c r="AA112" s="25" t="n">
        <f aca="false">AC112</f>
        <v>999999999</v>
      </c>
      <c r="AB112" s="24" t="n">
        <v>0</v>
      </c>
      <c r="AC112" s="25" t="n">
        <v>999999999</v>
      </c>
      <c r="AD112" s="25" t="n">
        <f aca="false">AF112</f>
        <v>999999999</v>
      </c>
      <c r="AE112" s="24" t="n">
        <v>0</v>
      </c>
      <c r="AF112" s="25" t="n">
        <v>999999999</v>
      </c>
      <c r="AG112" s="25" t="n">
        <v>999999999</v>
      </c>
    </row>
    <row r="113" customFormat="false" ht="15" hidden="false" customHeight="false" outlineLevel="0" collapsed="false">
      <c r="A113" s="20" t="s">
        <v>182</v>
      </c>
      <c r="B113" s="20" t="s">
        <v>114</v>
      </c>
      <c r="C113" s="28" t="str">
        <f aca="false">A113&amp;"|"&amp;B113</f>
        <v>IL|Single</v>
      </c>
      <c r="D113" s="24" t="n">
        <v>0.0495</v>
      </c>
      <c r="E113" s="25" t="n">
        <v>0</v>
      </c>
      <c r="F113" s="25" t="n">
        <f aca="false">H113</f>
        <v>999999999</v>
      </c>
      <c r="G113" s="24" t="n">
        <v>0</v>
      </c>
      <c r="H113" s="25" t="n">
        <v>999999999</v>
      </c>
      <c r="I113" s="25" t="n">
        <f aca="false">K113</f>
        <v>999999999</v>
      </c>
      <c r="J113" s="24" t="n">
        <v>0</v>
      </c>
      <c r="K113" s="25" t="n">
        <v>999999999</v>
      </c>
      <c r="L113" s="25" t="n">
        <f aca="false">N113</f>
        <v>999999999</v>
      </c>
      <c r="M113" s="24" t="n">
        <v>0</v>
      </c>
      <c r="N113" s="25" t="n">
        <v>999999999</v>
      </c>
      <c r="O113" s="25" t="n">
        <f aca="false">Q113</f>
        <v>999999999</v>
      </c>
      <c r="P113" s="24" t="n">
        <v>0</v>
      </c>
      <c r="Q113" s="25" t="n">
        <v>999999999</v>
      </c>
      <c r="R113" s="25" t="n">
        <f aca="false">T113</f>
        <v>999999999</v>
      </c>
      <c r="S113" s="24" t="n">
        <v>0</v>
      </c>
      <c r="T113" s="25" t="n">
        <v>999999999</v>
      </c>
      <c r="U113" s="25" t="n">
        <f aca="false">W113</f>
        <v>999999999</v>
      </c>
      <c r="V113" s="24" t="n">
        <v>0</v>
      </c>
      <c r="W113" s="25" t="n">
        <v>999999999</v>
      </c>
      <c r="X113" s="25" t="n">
        <f aca="false">Z113</f>
        <v>999999999</v>
      </c>
      <c r="Y113" s="24" t="n">
        <v>0</v>
      </c>
      <c r="Z113" s="25" t="n">
        <v>999999999</v>
      </c>
      <c r="AA113" s="25" t="n">
        <f aca="false">AC113</f>
        <v>999999999</v>
      </c>
      <c r="AB113" s="24" t="n">
        <v>0</v>
      </c>
      <c r="AC113" s="25" t="n">
        <v>999999999</v>
      </c>
      <c r="AD113" s="25" t="n">
        <f aca="false">AF113</f>
        <v>999999999</v>
      </c>
      <c r="AE113" s="24" t="n">
        <v>0</v>
      </c>
      <c r="AF113" s="25" t="n">
        <v>999999999</v>
      </c>
      <c r="AG113" s="25" t="n">
        <v>999999999</v>
      </c>
    </row>
    <row r="114" customFormat="false" ht="15" hidden="false" customHeight="false" outlineLevel="0" collapsed="false">
      <c r="A114" s="20" t="s">
        <v>182</v>
      </c>
      <c r="B114" s="20" t="s">
        <v>115</v>
      </c>
      <c r="C114" s="28" t="str">
        <f aca="false">A114&amp;"|"&amp;B114</f>
        <v>IL|MFJ</v>
      </c>
      <c r="D114" s="24" t="n">
        <v>0.0495</v>
      </c>
      <c r="E114" s="25" t="n">
        <v>0</v>
      </c>
      <c r="F114" s="25" t="n">
        <f aca="false">H114</f>
        <v>999999999</v>
      </c>
      <c r="G114" s="24" t="n">
        <v>0</v>
      </c>
      <c r="H114" s="25" t="n">
        <v>999999999</v>
      </c>
      <c r="I114" s="25" t="n">
        <f aca="false">K114</f>
        <v>999999999</v>
      </c>
      <c r="J114" s="24" t="n">
        <v>0</v>
      </c>
      <c r="K114" s="25" t="n">
        <v>999999999</v>
      </c>
      <c r="L114" s="25" t="n">
        <f aca="false">N114</f>
        <v>999999999</v>
      </c>
      <c r="M114" s="24" t="n">
        <v>0</v>
      </c>
      <c r="N114" s="25" t="n">
        <v>999999999</v>
      </c>
      <c r="O114" s="25" t="n">
        <f aca="false">Q114</f>
        <v>999999999</v>
      </c>
      <c r="P114" s="24" t="n">
        <v>0</v>
      </c>
      <c r="Q114" s="25" t="n">
        <v>999999999</v>
      </c>
      <c r="R114" s="25" t="n">
        <f aca="false">T114</f>
        <v>999999999</v>
      </c>
      <c r="S114" s="24" t="n">
        <v>0</v>
      </c>
      <c r="T114" s="25" t="n">
        <v>999999999</v>
      </c>
      <c r="U114" s="25" t="n">
        <f aca="false">W114</f>
        <v>999999999</v>
      </c>
      <c r="V114" s="24" t="n">
        <v>0</v>
      </c>
      <c r="W114" s="25" t="n">
        <v>999999999</v>
      </c>
      <c r="X114" s="25" t="n">
        <f aca="false">Z114</f>
        <v>999999999</v>
      </c>
      <c r="Y114" s="24" t="n">
        <v>0</v>
      </c>
      <c r="Z114" s="25" t="n">
        <v>999999999</v>
      </c>
      <c r="AA114" s="25" t="n">
        <f aca="false">AC114</f>
        <v>999999999</v>
      </c>
      <c r="AB114" s="24" t="n">
        <v>0</v>
      </c>
      <c r="AC114" s="25" t="n">
        <v>999999999</v>
      </c>
      <c r="AD114" s="25" t="n">
        <f aca="false">AF114</f>
        <v>999999999</v>
      </c>
      <c r="AE114" s="24" t="n">
        <v>0</v>
      </c>
      <c r="AF114" s="25" t="n">
        <v>999999999</v>
      </c>
      <c r="AG114" s="25" t="n">
        <v>999999999</v>
      </c>
    </row>
    <row r="115" customFormat="false" ht="15" hidden="false" customHeight="false" outlineLevel="0" collapsed="false">
      <c r="A115" s="20" t="s">
        <v>186</v>
      </c>
      <c r="B115" s="20" t="s">
        <v>114</v>
      </c>
      <c r="C115" s="28" t="str">
        <f aca="false">A115&amp;"|"&amp;B115</f>
        <v>IN|Single</v>
      </c>
      <c r="D115" s="24" t="n">
        <v>0.03</v>
      </c>
      <c r="E115" s="25" t="n">
        <v>0</v>
      </c>
      <c r="F115" s="25" t="n">
        <f aca="false">H115</f>
        <v>999999999</v>
      </c>
      <c r="G115" s="24" t="n">
        <v>0</v>
      </c>
      <c r="H115" s="25" t="n">
        <v>999999999</v>
      </c>
      <c r="I115" s="25" t="n">
        <f aca="false">K115</f>
        <v>999999999</v>
      </c>
      <c r="J115" s="24" t="n">
        <v>0</v>
      </c>
      <c r="K115" s="25" t="n">
        <v>999999999</v>
      </c>
      <c r="L115" s="25" t="n">
        <f aca="false">N115</f>
        <v>999999999</v>
      </c>
      <c r="M115" s="24" t="n">
        <v>0</v>
      </c>
      <c r="N115" s="25" t="n">
        <v>999999999</v>
      </c>
      <c r="O115" s="25" t="n">
        <f aca="false">Q115</f>
        <v>999999999</v>
      </c>
      <c r="P115" s="24" t="n">
        <v>0</v>
      </c>
      <c r="Q115" s="25" t="n">
        <v>999999999</v>
      </c>
      <c r="R115" s="25" t="n">
        <f aca="false">T115</f>
        <v>999999999</v>
      </c>
      <c r="S115" s="24" t="n">
        <v>0</v>
      </c>
      <c r="T115" s="25" t="n">
        <v>999999999</v>
      </c>
      <c r="U115" s="25" t="n">
        <f aca="false">W115</f>
        <v>999999999</v>
      </c>
      <c r="V115" s="24" t="n">
        <v>0</v>
      </c>
      <c r="W115" s="25" t="n">
        <v>999999999</v>
      </c>
      <c r="X115" s="25" t="n">
        <f aca="false">Z115</f>
        <v>999999999</v>
      </c>
      <c r="Y115" s="24" t="n">
        <v>0</v>
      </c>
      <c r="Z115" s="25" t="n">
        <v>999999999</v>
      </c>
      <c r="AA115" s="25" t="n">
        <f aca="false">AC115</f>
        <v>999999999</v>
      </c>
      <c r="AB115" s="24" t="n">
        <v>0</v>
      </c>
      <c r="AC115" s="25" t="n">
        <v>999999999</v>
      </c>
      <c r="AD115" s="25" t="n">
        <f aca="false">AF115</f>
        <v>999999999</v>
      </c>
      <c r="AE115" s="24" t="n">
        <v>0</v>
      </c>
      <c r="AF115" s="25" t="n">
        <v>999999999</v>
      </c>
      <c r="AG115" s="25" t="n">
        <v>999999999</v>
      </c>
    </row>
    <row r="116" customFormat="false" ht="15" hidden="false" customHeight="false" outlineLevel="0" collapsed="false">
      <c r="A116" s="20" t="s">
        <v>186</v>
      </c>
      <c r="B116" s="20" t="s">
        <v>115</v>
      </c>
      <c r="C116" s="28" t="str">
        <f aca="false">A116&amp;"|"&amp;B116</f>
        <v>IN|MFJ</v>
      </c>
      <c r="D116" s="24" t="n">
        <v>0.03</v>
      </c>
      <c r="E116" s="25" t="n">
        <v>0</v>
      </c>
      <c r="F116" s="25" t="n">
        <f aca="false">H116</f>
        <v>999999999</v>
      </c>
      <c r="G116" s="24" t="n">
        <v>0</v>
      </c>
      <c r="H116" s="25" t="n">
        <v>999999999</v>
      </c>
      <c r="I116" s="25" t="n">
        <f aca="false">K116</f>
        <v>999999999</v>
      </c>
      <c r="J116" s="24" t="n">
        <v>0</v>
      </c>
      <c r="K116" s="25" t="n">
        <v>999999999</v>
      </c>
      <c r="L116" s="25" t="n">
        <f aca="false">N116</f>
        <v>999999999</v>
      </c>
      <c r="M116" s="24" t="n">
        <v>0</v>
      </c>
      <c r="N116" s="25" t="n">
        <v>999999999</v>
      </c>
      <c r="O116" s="25" t="n">
        <f aca="false">Q116</f>
        <v>999999999</v>
      </c>
      <c r="P116" s="24" t="n">
        <v>0</v>
      </c>
      <c r="Q116" s="25" t="n">
        <v>999999999</v>
      </c>
      <c r="R116" s="25" t="n">
        <f aca="false">T116</f>
        <v>999999999</v>
      </c>
      <c r="S116" s="24" t="n">
        <v>0</v>
      </c>
      <c r="T116" s="25" t="n">
        <v>999999999</v>
      </c>
      <c r="U116" s="25" t="n">
        <f aca="false">W116</f>
        <v>999999999</v>
      </c>
      <c r="V116" s="24" t="n">
        <v>0</v>
      </c>
      <c r="W116" s="25" t="n">
        <v>999999999</v>
      </c>
      <c r="X116" s="25" t="n">
        <f aca="false">Z116</f>
        <v>999999999</v>
      </c>
      <c r="Y116" s="24" t="n">
        <v>0</v>
      </c>
      <c r="Z116" s="25" t="n">
        <v>999999999</v>
      </c>
      <c r="AA116" s="25" t="n">
        <f aca="false">AC116</f>
        <v>999999999</v>
      </c>
      <c r="AB116" s="24" t="n">
        <v>0</v>
      </c>
      <c r="AC116" s="25" t="n">
        <v>999999999</v>
      </c>
      <c r="AD116" s="25" t="n">
        <f aca="false">AF116</f>
        <v>999999999</v>
      </c>
      <c r="AE116" s="24" t="n">
        <v>0</v>
      </c>
      <c r="AF116" s="25" t="n">
        <v>999999999</v>
      </c>
      <c r="AG116" s="25" t="n">
        <v>999999999</v>
      </c>
    </row>
    <row r="117" customFormat="false" ht="15" hidden="false" customHeight="false" outlineLevel="0" collapsed="false">
      <c r="A117" s="20" t="s">
        <v>190</v>
      </c>
      <c r="B117" s="20" t="s">
        <v>114</v>
      </c>
      <c r="C117" s="28" t="str">
        <f aca="false">A117&amp;"|"&amp;B117</f>
        <v>IA|Single</v>
      </c>
      <c r="D117" s="24" t="n">
        <v>0.038</v>
      </c>
      <c r="E117" s="25" t="n">
        <v>0</v>
      </c>
      <c r="F117" s="25" t="n">
        <f aca="false">H117</f>
        <v>999999999</v>
      </c>
      <c r="G117" s="24" t="n">
        <v>0</v>
      </c>
      <c r="H117" s="25" t="n">
        <v>999999999</v>
      </c>
      <c r="I117" s="25" t="n">
        <f aca="false">K117</f>
        <v>999999999</v>
      </c>
      <c r="J117" s="24" t="n">
        <v>0</v>
      </c>
      <c r="K117" s="25" t="n">
        <v>999999999</v>
      </c>
      <c r="L117" s="25" t="n">
        <f aca="false">N117</f>
        <v>999999999</v>
      </c>
      <c r="M117" s="24" t="n">
        <v>0</v>
      </c>
      <c r="N117" s="25" t="n">
        <v>999999999</v>
      </c>
      <c r="O117" s="25" t="n">
        <f aca="false">Q117</f>
        <v>999999999</v>
      </c>
      <c r="P117" s="24" t="n">
        <v>0</v>
      </c>
      <c r="Q117" s="25" t="n">
        <v>999999999</v>
      </c>
      <c r="R117" s="25" t="n">
        <f aca="false">T117</f>
        <v>999999999</v>
      </c>
      <c r="S117" s="24" t="n">
        <v>0</v>
      </c>
      <c r="T117" s="25" t="n">
        <v>999999999</v>
      </c>
      <c r="U117" s="25" t="n">
        <f aca="false">W117</f>
        <v>999999999</v>
      </c>
      <c r="V117" s="24" t="n">
        <v>0</v>
      </c>
      <c r="W117" s="25" t="n">
        <v>999999999</v>
      </c>
      <c r="X117" s="25" t="n">
        <f aca="false">Z117</f>
        <v>999999999</v>
      </c>
      <c r="Y117" s="24" t="n">
        <v>0</v>
      </c>
      <c r="Z117" s="25" t="n">
        <v>999999999</v>
      </c>
      <c r="AA117" s="25" t="n">
        <f aca="false">AC117</f>
        <v>999999999</v>
      </c>
      <c r="AB117" s="24" t="n">
        <v>0</v>
      </c>
      <c r="AC117" s="25" t="n">
        <v>999999999</v>
      </c>
      <c r="AD117" s="25" t="n">
        <f aca="false">AF117</f>
        <v>999999999</v>
      </c>
      <c r="AE117" s="24" t="n">
        <v>0</v>
      </c>
      <c r="AF117" s="25" t="n">
        <v>999999999</v>
      </c>
      <c r="AG117" s="25" t="n">
        <v>999999999</v>
      </c>
    </row>
    <row r="118" customFormat="false" ht="15" hidden="false" customHeight="false" outlineLevel="0" collapsed="false">
      <c r="A118" s="20" t="s">
        <v>190</v>
      </c>
      <c r="B118" s="20" t="s">
        <v>115</v>
      </c>
      <c r="C118" s="28" t="str">
        <f aca="false">A118&amp;"|"&amp;B118</f>
        <v>IA|MFJ</v>
      </c>
      <c r="D118" s="24" t="n">
        <v>0.038</v>
      </c>
      <c r="E118" s="25" t="n">
        <v>0</v>
      </c>
      <c r="F118" s="25" t="n">
        <f aca="false">H118</f>
        <v>999999999</v>
      </c>
      <c r="G118" s="24" t="n">
        <v>0</v>
      </c>
      <c r="H118" s="25" t="n">
        <v>999999999</v>
      </c>
      <c r="I118" s="25" t="n">
        <f aca="false">K118</f>
        <v>999999999</v>
      </c>
      <c r="J118" s="24" t="n">
        <v>0</v>
      </c>
      <c r="K118" s="25" t="n">
        <v>999999999</v>
      </c>
      <c r="L118" s="25" t="n">
        <f aca="false">N118</f>
        <v>999999999</v>
      </c>
      <c r="M118" s="24" t="n">
        <v>0</v>
      </c>
      <c r="N118" s="25" t="n">
        <v>999999999</v>
      </c>
      <c r="O118" s="25" t="n">
        <f aca="false">Q118</f>
        <v>999999999</v>
      </c>
      <c r="P118" s="24" t="n">
        <v>0</v>
      </c>
      <c r="Q118" s="25" t="n">
        <v>999999999</v>
      </c>
      <c r="R118" s="25" t="n">
        <f aca="false">T118</f>
        <v>999999999</v>
      </c>
      <c r="S118" s="24" t="n">
        <v>0</v>
      </c>
      <c r="T118" s="25" t="n">
        <v>999999999</v>
      </c>
      <c r="U118" s="25" t="n">
        <f aca="false">W118</f>
        <v>999999999</v>
      </c>
      <c r="V118" s="24" t="n">
        <v>0</v>
      </c>
      <c r="W118" s="25" t="n">
        <v>999999999</v>
      </c>
      <c r="X118" s="25" t="n">
        <f aca="false">Z118</f>
        <v>999999999</v>
      </c>
      <c r="Y118" s="24" t="n">
        <v>0</v>
      </c>
      <c r="Z118" s="25" t="n">
        <v>999999999</v>
      </c>
      <c r="AA118" s="25" t="n">
        <f aca="false">AC118</f>
        <v>999999999</v>
      </c>
      <c r="AB118" s="24" t="n">
        <v>0</v>
      </c>
      <c r="AC118" s="25" t="n">
        <v>999999999</v>
      </c>
      <c r="AD118" s="25" t="n">
        <f aca="false">AF118</f>
        <v>999999999</v>
      </c>
      <c r="AE118" s="24" t="n">
        <v>0</v>
      </c>
      <c r="AF118" s="25" t="n">
        <v>999999999</v>
      </c>
      <c r="AG118" s="25" t="n">
        <v>999999999</v>
      </c>
    </row>
    <row r="119" customFormat="false" ht="15" hidden="false" customHeight="false" outlineLevel="0" collapsed="false">
      <c r="A119" s="20" t="s">
        <v>194</v>
      </c>
      <c r="B119" s="20" t="s">
        <v>114</v>
      </c>
      <c r="C119" s="28" t="str">
        <f aca="false">A119&amp;"|"&amp;B119</f>
        <v>KS|Single</v>
      </c>
      <c r="D119" s="24" t="n">
        <v>0.052</v>
      </c>
      <c r="E119" s="25" t="n">
        <v>0</v>
      </c>
      <c r="F119" s="25" t="n">
        <f aca="false">H119</f>
        <v>23000</v>
      </c>
      <c r="G119" s="24" t="n">
        <v>0.0558</v>
      </c>
      <c r="H119" s="25" t="n">
        <v>23000</v>
      </c>
      <c r="I119" s="25" t="n">
        <f aca="false">K119</f>
        <v>999999999</v>
      </c>
      <c r="J119" s="24" t="n">
        <v>0</v>
      </c>
      <c r="K119" s="25" t="n">
        <v>999999999</v>
      </c>
      <c r="L119" s="25" t="n">
        <f aca="false">N119</f>
        <v>999999999</v>
      </c>
      <c r="M119" s="24" t="n">
        <v>0</v>
      </c>
      <c r="N119" s="25" t="n">
        <v>999999999</v>
      </c>
      <c r="O119" s="25" t="n">
        <f aca="false">Q119</f>
        <v>999999999</v>
      </c>
      <c r="P119" s="24" t="n">
        <v>0</v>
      </c>
      <c r="Q119" s="25" t="n">
        <v>999999999</v>
      </c>
      <c r="R119" s="25" t="n">
        <f aca="false">T119</f>
        <v>999999999</v>
      </c>
      <c r="S119" s="24" t="n">
        <v>0</v>
      </c>
      <c r="T119" s="25" t="n">
        <v>999999999</v>
      </c>
      <c r="U119" s="25" t="n">
        <f aca="false">W119</f>
        <v>999999999</v>
      </c>
      <c r="V119" s="24" t="n">
        <v>0</v>
      </c>
      <c r="W119" s="25" t="n">
        <v>999999999</v>
      </c>
      <c r="X119" s="25" t="n">
        <f aca="false">Z119</f>
        <v>999999999</v>
      </c>
      <c r="Y119" s="24" t="n">
        <v>0</v>
      </c>
      <c r="Z119" s="25" t="n">
        <v>999999999</v>
      </c>
      <c r="AA119" s="25" t="n">
        <f aca="false">AC119</f>
        <v>999999999</v>
      </c>
      <c r="AB119" s="24" t="n">
        <v>0</v>
      </c>
      <c r="AC119" s="25" t="n">
        <v>999999999</v>
      </c>
      <c r="AD119" s="25" t="n">
        <f aca="false">AF119</f>
        <v>999999999</v>
      </c>
      <c r="AE119" s="24" t="n">
        <v>0</v>
      </c>
      <c r="AF119" s="25" t="n">
        <v>999999999</v>
      </c>
      <c r="AG119" s="25" t="n">
        <v>999999999</v>
      </c>
    </row>
    <row r="120" customFormat="false" ht="15" hidden="false" customHeight="false" outlineLevel="0" collapsed="false">
      <c r="A120" s="20" t="s">
        <v>194</v>
      </c>
      <c r="B120" s="20" t="s">
        <v>115</v>
      </c>
      <c r="C120" s="28" t="str">
        <f aca="false">A120&amp;"|"&amp;B120</f>
        <v>KS|MFJ</v>
      </c>
      <c r="D120" s="24" t="n">
        <v>0.052</v>
      </c>
      <c r="E120" s="25" t="n">
        <v>0</v>
      </c>
      <c r="F120" s="25" t="n">
        <f aca="false">H120</f>
        <v>46000</v>
      </c>
      <c r="G120" s="24" t="n">
        <v>0.0558</v>
      </c>
      <c r="H120" s="25" t="n">
        <v>46000</v>
      </c>
      <c r="I120" s="25" t="n">
        <f aca="false">K120</f>
        <v>999999999</v>
      </c>
      <c r="J120" s="24" t="n">
        <v>0</v>
      </c>
      <c r="K120" s="25" t="n">
        <v>999999999</v>
      </c>
      <c r="L120" s="25" t="n">
        <f aca="false">N120</f>
        <v>999999999</v>
      </c>
      <c r="M120" s="24" t="n">
        <v>0</v>
      </c>
      <c r="N120" s="25" t="n">
        <v>999999999</v>
      </c>
      <c r="O120" s="25" t="n">
        <f aca="false">Q120</f>
        <v>999999999</v>
      </c>
      <c r="P120" s="24" t="n">
        <v>0</v>
      </c>
      <c r="Q120" s="25" t="n">
        <v>999999999</v>
      </c>
      <c r="R120" s="25" t="n">
        <f aca="false">T120</f>
        <v>999999999</v>
      </c>
      <c r="S120" s="24" t="n">
        <v>0</v>
      </c>
      <c r="T120" s="25" t="n">
        <v>999999999</v>
      </c>
      <c r="U120" s="25" t="n">
        <f aca="false">W120</f>
        <v>999999999</v>
      </c>
      <c r="V120" s="24" t="n">
        <v>0</v>
      </c>
      <c r="W120" s="25" t="n">
        <v>999999999</v>
      </c>
      <c r="X120" s="25" t="n">
        <f aca="false">Z120</f>
        <v>999999999</v>
      </c>
      <c r="Y120" s="24" t="n">
        <v>0</v>
      </c>
      <c r="Z120" s="25" t="n">
        <v>999999999</v>
      </c>
      <c r="AA120" s="25" t="n">
        <f aca="false">AC120</f>
        <v>999999999</v>
      </c>
      <c r="AB120" s="24" t="n">
        <v>0</v>
      </c>
      <c r="AC120" s="25" t="n">
        <v>999999999</v>
      </c>
      <c r="AD120" s="25" t="n">
        <f aca="false">AF120</f>
        <v>999999999</v>
      </c>
      <c r="AE120" s="24" t="n">
        <v>0</v>
      </c>
      <c r="AF120" s="25" t="n">
        <v>999999999</v>
      </c>
      <c r="AG120" s="25" t="n">
        <v>999999999</v>
      </c>
    </row>
    <row r="121" customFormat="false" ht="15" hidden="false" customHeight="false" outlineLevel="0" collapsed="false">
      <c r="A121" s="20" t="s">
        <v>197</v>
      </c>
      <c r="B121" s="20" t="s">
        <v>114</v>
      </c>
      <c r="C121" s="28" t="str">
        <f aca="false">A121&amp;"|"&amp;B121</f>
        <v>KY|Single</v>
      </c>
      <c r="D121" s="24" t="n">
        <v>0.04</v>
      </c>
      <c r="E121" s="25" t="n">
        <v>0</v>
      </c>
      <c r="F121" s="25" t="n">
        <f aca="false">H121</f>
        <v>999999999</v>
      </c>
      <c r="G121" s="24" t="n">
        <v>0</v>
      </c>
      <c r="H121" s="25" t="n">
        <v>999999999</v>
      </c>
      <c r="I121" s="25" t="n">
        <f aca="false">K121</f>
        <v>999999999</v>
      </c>
      <c r="J121" s="24" t="n">
        <v>0</v>
      </c>
      <c r="K121" s="25" t="n">
        <v>999999999</v>
      </c>
      <c r="L121" s="25" t="n">
        <f aca="false">N121</f>
        <v>999999999</v>
      </c>
      <c r="M121" s="24" t="n">
        <v>0</v>
      </c>
      <c r="N121" s="25" t="n">
        <v>999999999</v>
      </c>
      <c r="O121" s="25" t="n">
        <f aca="false">Q121</f>
        <v>999999999</v>
      </c>
      <c r="P121" s="24" t="n">
        <v>0</v>
      </c>
      <c r="Q121" s="25" t="n">
        <v>999999999</v>
      </c>
      <c r="R121" s="25" t="n">
        <f aca="false">T121</f>
        <v>999999999</v>
      </c>
      <c r="S121" s="24" t="n">
        <v>0</v>
      </c>
      <c r="T121" s="25" t="n">
        <v>999999999</v>
      </c>
      <c r="U121" s="25" t="n">
        <f aca="false">W121</f>
        <v>999999999</v>
      </c>
      <c r="V121" s="24" t="n">
        <v>0</v>
      </c>
      <c r="W121" s="25" t="n">
        <v>999999999</v>
      </c>
      <c r="X121" s="25" t="n">
        <f aca="false">Z121</f>
        <v>999999999</v>
      </c>
      <c r="Y121" s="24" t="n">
        <v>0</v>
      </c>
      <c r="Z121" s="25" t="n">
        <v>999999999</v>
      </c>
      <c r="AA121" s="25" t="n">
        <f aca="false">AC121</f>
        <v>999999999</v>
      </c>
      <c r="AB121" s="24" t="n">
        <v>0</v>
      </c>
      <c r="AC121" s="25" t="n">
        <v>999999999</v>
      </c>
      <c r="AD121" s="25" t="n">
        <f aca="false">AF121</f>
        <v>999999999</v>
      </c>
      <c r="AE121" s="24" t="n">
        <v>0</v>
      </c>
      <c r="AF121" s="25" t="n">
        <v>999999999</v>
      </c>
      <c r="AG121" s="25" t="n">
        <v>999999999</v>
      </c>
    </row>
    <row r="122" customFormat="false" ht="15" hidden="false" customHeight="false" outlineLevel="0" collapsed="false">
      <c r="A122" s="20" t="s">
        <v>197</v>
      </c>
      <c r="B122" s="20" t="s">
        <v>115</v>
      </c>
      <c r="C122" s="28" t="str">
        <f aca="false">A122&amp;"|"&amp;B122</f>
        <v>KY|MFJ</v>
      </c>
      <c r="D122" s="24" t="n">
        <v>0.04</v>
      </c>
      <c r="E122" s="25" t="n">
        <v>0</v>
      </c>
      <c r="F122" s="25" t="n">
        <f aca="false">H122</f>
        <v>999999999</v>
      </c>
      <c r="G122" s="24" t="n">
        <v>0</v>
      </c>
      <c r="H122" s="25" t="n">
        <v>999999999</v>
      </c>
      <c r="I122" s="25" t="n">
        <f aca="false">K122</f>
        <v>999999999</v>
      </c>
      <c r="J122" s="24" t="n">
        <v>0</v>
      </c>
      <c r="K122" s="25" t="n">
        <v>999999999</v>
      </c>
      <c r="L122" s="25" t="n">
        <f aca="false">N122</f>
        <v>999999999</v>
      </c>
      <c r="M122" s="24" t="n">
        <v>0</v>
      </c>
      <c r="N122" s="25" t="n">
        <v>999999999</v>
      </c>
      <c r="O122" s="25" t="n">
        <f aca="false">Q122</f>
        <v>999999999</v>
      </c>
      <c r="P122" s="24" t="n">
        <v>0</v>
      </c>
      <c r="Q122" s="25" t="n">
        <v>999999999</v>
      </c>
      <c r="R122" s="25" t="n">
        <f aca="false">T122</f>
        <v>999999999</v>
      </c>
      <c r="S122" s="24" t="n">
        <v>0</v>
      </c>
      <c r="T122" s="25" t="n">
        <v>999999999</v>
      </c>
      <c r="U122" s="25" t="n">
        <f aca="false">W122</f>
        <v>999999999</v>
      </c>
      <c r="V122" s="24" t="n">
        <v>0</v>
      </c>
      <c r="W122" s="25" t="n">
        <v>999999999</v>
      </c>
      <c r="X122" s="25" t="n">
        <f aca="false">Z122</f>
        <v>999999999</v>
      </c>
      <c r="Y122" s="24" t="n">
        <v>0</v>
      </c>
      <c r="Z122" s="25" t="n">
        <v>999999999</v>
      </c>
      <c r="AA122" s="25" t="n">
        <f aca="false">AC122</f>
        <v>999999999</v>
      </c>
      <c r="AB122" s="24" t="n">
        <v>0</v>
      </c>
      <c r="AC122" s="25" t="n">
        <v>999999999</v>
      </c>
      <c r="AD122" s="25" t="n">
        <f aca="false">AF122</f>
        <v>999999999</v>
      </c>
      <c r="AE122" s="24" t="n">
        <v>0</v>
      </c>
      <c r="AF122" s="25" t="n">
        <v>999999999</v>
      </c>
      <c r="AG122" s="25" t="n">
        <v>999999999</v>
      </c>
    </row>
    <row r="123" customFormat="false" ht="15" hidden="false" customHeight="false" outlineLevel="0" collapsed="false">
      <c r="A123" s="20" t="s">
        <v>201</v>
      </c>
      <c r="B123" s="20" t="s">
        <v>114</v>
      </c>
      <c r="C123" s="28" t="str">
        <f aca="false">A123&amp;"|"&amp;B123</f>
        <v>LA|Single</v>
      </c>
      <c r="D123" s="24" t="n">
        <v>0.03</v>
      </c>
      <c r="E123" s="25" t="n">
        <v>0</v>
      </c>
      <c r="F123" s="25" t="n">
        <f aca="false">H123</f>
        <v>999999999</v>
      </c>
      <c r="G123" s="24" t="n">
        <v>0</v>
      </c>
      <c r="H123" s="25" t="n">
        <v>999999999</v>
      </c>
      <c r="I123" s="25" t="n">
        <f aca="false">K123</f>
        <v>999999999</v>
      </c>
      <c r="J123" s="24" t="n">
        <v>0</v>
      </c>
      <c r="K123" s="25" t="n">
        <v>999999999</v>
      </c>
      <c r="L123" s="25" t="n">
        <f aca="false">N123</f>
        <v>999999999</v>
      </c>
      <c r="M123" s="24" t="n">
        <v>0</v>
      </c>
      <c r="N123" s="25" t="n">
        <v>999999999</v>
      </c>
      <c r="O123" s="25" t="n">
        <f aca="false">Q123</f>
        <v>999999999</v>
      </c>
      <c r="P123" s="24" t="n">
        <v>0</v>
      </c>
      <c r="Q123" s="25" t="n">
        <v>999999999</v>
      </c>
      <c r="R123" s="25" t="n">
        <f aca="false">T123</f>
        <v>999999999</v>
      </c>
      <c r="S123" s="24" t="n">
        <v>0</v>
      </c>
      <c r="T123" s="25" t="n">
        <v>999999999</v>
      </c>
      <c r="U123" s="25" t="n">
        <f aca="false">W123</f>
        <v>999999999</v>
      </c>
      <c r="V123" s="24" t="n">
        <v>0</v>
      </c>
      <c r="W123" s="25" t="n">
        <v>999999999</v>
      </c>
      <c r="X123" s="25" t="n">
        <f aca="false">Z123</f>
        <v>999999999</v>
      </c>
      <c r="Y123" s="24" t="n">
        <v>0</v>
      </c>
      <c r="Z123" s="25" t="n">
        <v>999999999</v>
      </c>
      <c r="AA123" s="25" t="n">
        <f aca="false">AC123</f>
        <v>999999999</v>
      </c>
      <c r="AB123" s="24" t="n">
        <v>0</v>
      </c>
      <c r="AC123" s="25" t="n">
        <v>999999999</v>
      </c>
      <c r="AD123" s="25" t="n">
        <f aca="false">AF123</f>
        <v>999999999</v>
      </c>
      <c r="AE123" s="24" t="n">
        <v>0</v>
      </c>
      <c r="AF123" s="25" t="n">
        <v>999999999</v>
      </c>
      <c r="AG123" s="25" t="n">
        <v>999999999</v>
      </c>
    </row>
    <row r="124" customFormat="false" ht="15" hidden="false" customHeight="false" outlineLevel="0" collapsed="false">
      <c r="A124" s="20" t="s">
        <v>201</v>
      </c>
      <c r="B124" s="20" t="s">
        <v>115</v>
      </c>
      <c r="C124" s="28" t="str">
        <f aca="false">A124&amp;"|"&amp;B124</f>
        <v>LA|MFJ</v>
      </c>
      <c r="D124" s="24" t="n">
        <v>0.03</v>
      </c>
      <c r="E124" s="25" t="n">
        <v>0</v>
      </c>
      <c r="F124" s="25" t="n">
        <f aca="false">H124</f>
        <v>999999999</v>
      </c>
      <c r="G124" s="24" t="n">
        <v>0</v>
      </c>
      <c r="H124" s="25" t="n">
        <v>999999999</v>
      </c>
      <c r="I124" s="25" t="n">
        <f aca="false">K124</f>
        <v>999999999</v>
      </c>
      <c r="J124" s="24" t="n">
        <v>0</v>
      </c>
      <c r="K124" s="25" t="n">
        <v>999999999</v>
      </c>
      <c r="L124" s="25" t="n">
        <f aca="false">N124</f>
        <v>999999999</v>
      </c>
      <c r="M124" s="24" t="n">
        <v>0</v>
      </c>
      <c r="N124" s="25" t="n">
        <v>999999999</v>
      </c>
      <c r="O124" s="25" t="n">
        <f aca="false">Q124</f>
        <v>999999999</v>
      </c>
      <c r="P124" s="24" t="n">
        <v>0</v>
      </c>
      <c r="Q124" s="25" t="n">
        <v>999999999</v>
      </c>
      <c r="R124" s="25" t="n">
        <f aca="false">T124</f>
        <v>999999999</v>
      </c>
      <c r="S124" s="24" t="n">
        <v>0</v>
      </c>
      <c r="T124" s="25" t="n">
        <v>999999999</v>
      </c>
      <c r="U124" s="25" t="n">
        <f aca="false">W124</f>
        <v>999999999</v>
      </c>
      <c r="V124" s="24" t="n">
        <v>0</v>
      </c>
      <c r="W124" s="25" t="n">
        <v>999999999</v>
      </c>
      <c r="X124" s="25" t="n">
        <f aca="false">Z124</f>
        <v>999999999</v>
      </c>
      <c r="Y124" s="24" t="n">
        <v>0</v>
      </c>
      <c r="Z124" s="25" t="n">
        <v>999999999</v>
      </c>
      <c r="AA124" s="25" t="n">
        <f aca="false">AC124</f>
        <v>999999999</v>
      </c>
      <c r="AB124" s="24" t="n">
        <v>0</v>
      </c>
      <c r="AC124" s="25" t="n">
        <v>999999999</v>
      </c>
      <c r="AD124" s="25" t="n">
        <f aca="false">AF124</f>
        <v>999999999</v>
      </c>
      <c r="AE124" s="24" t="n">
        <v>0</v>
      </c>
      <c r="AF124" s="25" t="n">
        <v>999999999</v>
      </c>
      <c r="AG124" s="25" t="n">
        <v>999999999</v>
      </c>
    </row>
    <row r="125" customFormat="false" ht="15" hidden="false" customHeight="false" outlineLevel="0" collapsed="false">
      <c r="A125" s="20" t="s">
        <v>203</v>
      </c>
      <c r="B125" s="20" t="s">
        <v>114</v>
      </c>
      <c r="C125" s="28" t="str">
        <f aca="false">A125&amp;"|"&amp;B125</f>
        <v>ME|Single</v>
      </c>
      <c r="D125" s="24" t="n">
        <v>0.058</v>
      </c>
      <c r="E125" s="25" t="n">
        <v>0</v>
      </c>
      <c r="F125" s="25" t="n">
        <f aca="false">H125</f>
        <v>26800</v>
      </c>
      <c r="G125" s="24" t="n">
        <v>0.0675</v>
      </c>
      <c r="H125" s="25" t="n">
        <v>26800</v>
      </c>
      <c r="I125" s="25" t="n">
        <f aca="false">K125</f>
        <v>63450</v>
      </c>
      <c r="J125" s="24" t="n">
        <v>0.0715</v>
      </c>
      <c r="K125" s="25" t="n">
        <v>63450</v>
      </c>
      <c r="L125" s="25" t="n">
        <f aca="false">N125</f>
        <v>999999999</v>
      </c>
      <c r="M125" s="24" t="n">
        <v>0</v>
      </c>
      <c r="N125" s="25" t="n">
        <v>999999999</v>
      </c>
      <c r="O125" s="25" t="n">
        <f aca="false">Q125</f>
        <v>999999999</v>
      </c>
      <c r="P125" s="24" t="n">
        <v>0</v>
      </c>
      <c r="Q125" s="25" t="n">
        <v>999999999</v>
      </c>
      <c r="R125" s="25" t="n">
        <f aca="false">T125</f>
        <v>999999999</v>
      </c>
      <c r="S125" s="24" t="n">
        <v>0</v>
      </c>
      <c r="T125" s="25" t="n">
        <v>999999999</v>
      </c>
      <c r="U125" s="25" t="n">
        <f aca="false">W125</f>
        <v>999999999</v>
      </c>
      <c r="V125" s="24" t="n">
        <v>0</v>
      </c>
      <c r="W125" s="25" t="n">
        <v>999999999</v>
      </c>
      <c r="X125" s="25" t="n">
        <f aca="false">Z125</f>
        <v>999999999</v>
      </c>
      <c r="Y125" s="24" t="n">
        <v>0</v>
      </c>
      <c r="Z125" s="25" t="n">
        <v>999999999</v>
      </c>
      <c r="AA125" s="25" t="n">
        <f aca="false">AC125</f>
        <v>999999999</v>
      </c>
      <c r="AB125" s="24" t="n">
        <v>0</v>
      </c>
      <c r="AC125" s="25" t="n">
        <v>999999999</v>
      </c>
      <c r="AD125" s="25" t="n">
        <f aca="false">AF125</f>
        <v>999999999</v>
      </c>
      <c r="AE125" s="24" t="n">
        <v>0</v>
      </c>
      <c r="AF125" s="25" t="n">
        <v>999999999</v>
      </c>
      <c r="AG125" s="25" t="n">
        <v>999999999</v>
      </c>
    </row>
    <row r="126" customFormat="false" ht="15" hidden="false" customHeight="false" outlineLevel="0" collapsed="false">
      <c r="A126" s="20" t="s">
        <v>203</v>
      </c>
      <c r="B126" s="20" t="s">
        <v>115</v>
      </c>
      <c r="C126" s="28" t="str">
        <f aca="false">A126&amp;"|"&amp;B126</f>
        <v>ME|MFJ</v>
      </c>
      <c r="D126" s="24" t="n">
        <v>0.058</v>
      </c>
      <c r="E126" s="25" t="n">
        <v>0</v>
      </c>
      <c r="F126" s="25" t="n">
        <f aca="false">H126</f>
        <v>53600</v>
      </c>
      <c r="G126" s="24" t="n">
        <v>0.0675</v>
      </c>
      <c r="H126" s="25" t="n">
        <v>53600</v>
      </c>
      <c r="I126" s="25" t="n">
        <f aca="false">K126</f>
        <v>126900</v>
      </c>
      <c r="J126" s="24" t="n">
        <v>0.0715</v>
      </c>
      <c r="K126" s="25" t="n">
        <v>126900</v>
      </c>
      <c r="L126" s="25" t="n">
        <f aca="false">N126</f>
        <v>999999999</v>
      </c>
      <c r="M126" s="24" t="n">
        <v>0</v>
      </c>
      <c r="N126" s="25" t="n">
        <v>999999999</v>
      </c>
      <c r="O126" s="25" t="n">
        <f aca="false">Q126</f>
        <v>999999999</v>
      </c>
      <c r="P126" s="24" t="n">
        <v>0</v>
      </c>
      <c r="Q126" s="25" t="n">
        <v>999999999</v>
      </c>
      <c r="R126" s="25" t="n">
        <f aca="false">T126</f>
        <v>999999999</v>
      </c>
      <c r="S126" s="24" t="n">
        <v>0</v>
      </c>
      <c r="T126" s="25" t="n">
        <v>999999999</v>
      </c>
      <c r="U126" s="25" t="n">
        <f aca="false">W126</f>
        <v>999999999</v>
      </c>
      <c r="V126" s="24" t="n">
        <v>0</v>
      </c>
      <c r="W126" s="25" t="n">
        <v>999999999</v>
      </c>
      <c r="X126" s="25" t="n">
        <f aca="false">Z126</f>
        <v>999999999</v>
      </c>
      <c r="Y126" s="24" t="n">
        <v>0</v>
      </c>
      <c r="Z126" s="25" t="n">
        <v>999999999</v>
      </c>
      <c r="AA126" s="25" t="n">
        <f aca="false">AC126</f>
        <v>999999999</v>
      </c>
      <c r="AB126" s="24" t="n">
        <v>0</v>
      </c>
      <c r="AC126" s="25" t="n">
        <v>999999999</v>
      </c>
      <c r="AD126" s="25" t="n">
        <f aca="false">AF126</f>
        <v>999999999</v>
      </c>
      <c r="AE126" s="24" t="n">
        <v>0</v>
      </c>
      <c r="AF126" s="25" t="n">
        <v>999999999</v>
      </c>
      <c r="AG126" s="25" t="n">
        <v>999999999</v>
      </c>
    </row>
    <row r="127" customFormat="false" ht="15" hidden="false" customHeight="false" outlineLevel="0" collapsed="false">
      <c r="A127" s="20" t="s">
        <v>206</v>
      </c>
      <c r="B127" s="20" t="s">
        <v>114</v>
      </c>
      <c r="C127" s="28" t="str">
        <f aca="false">A127&amp;"|"&amp;B127</f>
        <v>MD|Single</v>
      </c>
      <c r="D127" s="24" t="n">
        <v>0.02</v>
      </c>
      <c r="E127" s="25" t="n">
        <v>0</v>
      </c>
      <c r="F127" s="25" t="n">
        <f aca="false">H127</f>
        <v>1000</v>
      </c>
      <c r="G127" s="24" t="n">
        <v>0.03</v>
      </c>
      <c r="H127" s="25" t="n">
        <v>1000</v>
      </c>
      <c r="I127" s="25" t="n">
        <f aca="false">K127</f>
        <v>2000</v>
      </c>
      <c r="J127" s="24" t="n">
        <v>0.04</v>
      </c>
      <c r="K127" s="25" t="n">
        <v>2000</v>
      </c>
      <c r="L127" s="25" t="n">
        <f aca="false">N127</f>
        <v>3000</v>
      </c>
      <c r="M127" s="24" t="n">
        <v>0.0475</v>
      </c>
      <c r="N127" s="25" t="n">
        <v>3000</v>
      </c>
      <c r="O127" s="25" t="n">
        <f aca="false">Q127</f>
        <v>100000</v>
      </c>
      <c r="P127" s="24" t="n">
        <v>0.05</v>
      </c>
      <c r="Q127" s="25" t="n">
        <v>100000</v>
      </c>
      <c r="R127" s="25" t="n">
        <f aca="false">T127</f>
        <v>125000</v>
      </c>
      <c r="S127" s="24" t="n">
        <v>0.0525</v>
      </c>
      <c r="T127" s="25" t="n">
        <v>125000</v>
      </c>
      <c r="U127" s="25" t="n">
        <f aca="false">W127</f>
        <v>150000</v>
      </c>
      <c r="V127" s="24" t="n">
        <v>0.055</v>
      </c>
      <c r="W127" s="25" t="n">
        <v>150000</v>
      </c>
      <c r="X127" s="25" t="n">
        <f aca="false">Z127</f>
        <v>250000</v>
      </c>
      <c r="Y127" s="24" t="n">
        <v>0.0575</v>
      </c>
      <c r="Z127" s="25" t="n">
        <v>250000</v>
      </c>
      <c r="AA127" s="25" t="n">
        <f aca="false">AC127</f>
        <v>500000</v>
      </c>
      <c r="AB127" s="24" t="n">
        <v>0.0625</v>
      </c>
      <c r="AC127" s="25" t="n">
        <v>500000</v>
      </c>
      <c r="AD127" s="25" t="n">
        <f aca="false">AF127</f>
        <v>1000000</v>
      </c>
      <c r="AE127" s="24" t="n">
        <v>0.065</v>
      </c>
      <c r="AF127" s="25" t="n">
        <v>1000000</v>
      </c>
      <c r="AG127" s="25" t="n">
        <v>999999999</v>
      </c>
    </row>
    <row r="128" customFormat="false" ht="15" hidden="false" customHeight="false" outlineLevel="0" collapsed="false">
      <c r="A128" s="20" t="s">
        <v>206</v>
      </c>
      <c r="B128" s="20" t="s">
        <v>115</v>
      </c>
      <c r="C128" s="28" t="str">
        <f aca="false">A128&amp;"|"&amp;B128</f>
        <v>MD|MFJ</v>
      </c>
      <c r="D128" s="24" t="n">
        <v>0.02</v>
      </c>
      <c r="E128" s="25" t="n">
        <v>0</v>
      </c>
      <c r="F128" s="25" t="n">
        <f aca="false">H128</f>
        <v>1000</v>
      </c>
      <c r="G128" s="24" t="n">
        <v>0.03</v>
      </c>
      <c r="H128" s="25" t="n">
        <v>1000</v>
      </c>
      <c r="I128" s="25" t="n">
        <f aca="false">K128</f>
        <v>2000</v>
      </c>
      <c r="J128" s="24" t="n">
        <v>0.04</v>
      </c>
      <c r="K128" s="25" t="n">
        <v>2000</v>
      </c>
      <c r="L128" s="25" t="n">
        <f aca="false">N128</f>
        <v>3000</v>
      </c>
      <c r="M128" s="24" t="n">
        <v>0.0475</v>
      </c>
      <c r="N128" s="25" t="n">
        <v>3000</v>
      </c>
      <c r="O128" s="25" t="n">
        <f aca="false">Q128</f>
        <v>150000</v>
      </c>
      <c r="P128" s="24" t="n">
        <v>0.05</v>
      </c>
      <c r="Q128" s="25" t="n">
        <v>150000</v>
      </c>
      <c r="R128" s="25" t="n">
        <f aca="false">T128</f>
        <v>175000</v>
      </c>
      <c r="S128" s="24" t="n">
        <v>0.0525</v>
      </c>
      <c r="T128" s="25" t="n">
        <v>175000</v>
      </c>
      <c r="U128" s="25" t="n">
        <f aca="false">W128</f>
        <v>225000</v>
      </c>
      <c r="V128" s="24" t="n">
        <v>0.055</v>
      </c>
      <c r="W128" s="25" t="n">
        <v>225000</v>
      </c>
      <c r="X128" s="25" t="n">
        <f aca="false">Z128</f>
        <v>300000</v>
      </c>
      <c r="Y128" s="24" t="n">
        <v>0.0575</v>
      </c>
      <c r="Z128" s="25" t="n">
        <v>300000</v>
      </c>
      <c r="AA128" s="25" t="n">
        <f aca="false">AC128</f>
        <v>600000</v>
      </c>
      <c r="AB128" s="24" t="n">
        <v>0.0625</v>
      </c>
      <c r="AC128" s="25" t="n">
        <v>600000</v>
      </c>
      <c r="AD128" s="25" t="n">
        <f aca="false">AF128</f>
        <v>1200000</v>
      </c>
      <c r="AE128" s="24" t="n">
        <v>0.065</v>
      </c>
      <c r="AF128" s="25" t="n">
        <v>1200000</v>
      </c>
      <c r="AG128" s="25" t="n">
        <v>999999999</v>
      </c>
    </row>
    <row r="129" customFormat="false" ht="15" hidden="false" customHeight="false" outlineLevel="0" collapsed="false">
      <c r="A129" s="20" t="s">
        <v>209</v>
      </c>
      <c r="B129" s="20" t="s">
        <v>114</v>
      </c>
      <c r="C129" s="28" t="str">
        <f aca="false">A129&amp;"|"&amp;B129</f>
        <v>MA|Single</v>
      </c>
      <c r="D129" s="24" t="n">
        <v>0</v>
      </c>
      <c r="E129" s="25" t="n">
        <v>0</v>
      </c>
      <c r="F129" s="25" t="n">
        <f aca="false">H129</f>
        <v>999999999</v>
      </c>
      <c r="G129" s="24" t="n">
        <v>0</v>
      </c>
      <c r="H129" s="25" t="n">
        <v>999999999</v>
      </c>
      <c r="I129" s="25" t="n">
        <f aca="false">K129</f>
        <v>999999999</v>
      </c>
      <c r="J129" s="24" t="n">
        <v>0</v>
      </c>
      <c r="K129" s="25" t="n">
        <v>999999999</v>
      </c>
      <c r="L129" s="25" t="n">
        <f aca="false">N129</f>
        <v>999999999</v>
      </c>
      <c r="M129" s="24" t="n">
        <v>0</v>
      </c>
      <c r="N129" s="25" t="n">
        <v>999999999</v>
      </c>
      <c r="O129" s="25" t="n">
        <f aca="false">Q129</f>
        <v>999999999</v>
      </c>
      <c r="P129" s="24" t="n">
        <v>0</v>
      </c>
      <c r="Q129" s="25" t="n">
        <v>999999999</v>
      </c>
      <c r="R129" s="25" t="n">
        <f aca="false">T129</f>
        <v>999999999</v>
      </c>
      <c r="S129" s="24" t="n">
        <v>0</v>
      </c>
      <c r="T129" s="25" t="n">
        <v>999999999</v>
      </c>
      <c r="U129" s="25" t="n">
        <f aca="false">W129</f>
        <v>999999999</v>
      </c>
      <c r="V129" s="24" t="n">
        <v>0</v>
      </c>
      <c r="W129" s="25" t="n">
        <v>999999999</v>
      </c>
      <c r="X129" s="25" t="n">
        <f aca="false">Z129</f>
        <v>999999999</v>
      </c>
      <c r="Y129" s="24" t="n">
        <v>0</v>
      </c>
      <c r="Z129" s="25" t="n">
        <v>999999999</v>
      </c>
      <c r="AA129" s="25" t="n">
        <f aca="false">AC129</f>
        <v>999999999</v>
      </c>
      <c r="AB129" s="24" t="n">
        <v>0</v>
      </c>
      <c r="AC129" s="25" t="n">
        <v>999999999</v>
      </c>
      <c r="AD129" s="25" t="n">
        <f aca="false">AF129</f>
        <v>999999999</v>
      </c>
      <c r="AE129" s="24" t="n">
        <v>0</v>
      </c>
      <c r="AF129" s="25" t="n">
        <v>999999999</v>
      </c>
      <c r="AG129" s="25" t="n">
        <v>999999999</v>
      </c>
    </row>
    <row r="130" customFormat="false" ht="15" hidden="false" customHeight="false" outlineLevel="0" collapsed="false">
      <c r="A130" s="20" t="s">
        <v>209</v>
      </c>
      <c r="B130" s="20" t="s">
        <v>115</v>
      </c>
      <c r="C130" s="28" t="str">
        <f aca="false">A130&amp;"|"&amp;B130</f>
        <v>MA|MFJ</v>
      </c>
      <c r="D130" s="24" t="n">
        <v>0</v>
      </c>
      <c r="E130" s="25" t="n">
        <v>0</v>
      </c>
      <c r="F130" s="25" t="n">
        <f aca="false">H130</f>
        <v>999999999</v>
      </c>
      <c r="G130" s="24" t="n">
        <v>0</v>
      </c>
      <c r="H130" s="25" t="n">
        <v>999999999</v>
      </c>
      <c r="I130" s="25" t="n">
        <f aca="false">K130</f>
        <v>999999999</v>
      </c>
      <c r="J130" s="24" t="n">
        <v>0</v>
      </c>
      <c r="K130" s="25" t="n">
        <v>999999999</v>
      </c>
      <c r="L130" s="25" t="n">
        <f aca="false">N130</f>
        <v>999999999</v>
      </c>
      <c r="M130" s="24" t="n">
        <v>0</v>
      </c>
      <c r="N130" s="25" t="n">
        <v>999999999</v>
      </c>
      <c r="O130" s="25" t="n">
        <f aca="false">Q130</f>
        <v>999999999</v>
      </c>
      <c r="P130" s="24" t="n">
        <v>0</v>
      </c>
      <c r="Q130" s="25" t="n">
        <v>999999999</v>
      </c>
      <c r="R130" s="25" t="n">
        <f aca="false">T130</f>
        <v>999999999</v>
      </c>
      <c r="S130" s="24" t="n">
        <v>0</v>
      </c>
      <c r="T130" s="25" t="n">
        <v>999999999</v>
      </c>
      <c r="U130" s="25" t="n">
        <f aca="false">W130</f>
        <v>999999999</v>
      </c>
      <c r="V130" s="24" t="n">
        <v>0</v>
      </c>
      <c r="W130" s="25" t="n">
        <v>999999999</v>
      </c>
      <c r="X130" s="25" t="n">
        <f aca="false">Z130</f>
        <v>999999999</v>
      </c>
      <c r="Y130" s="24" t="n">
        <v>0</v>
      </c>
      <c r="Z130" s="25" t="n">
        <v>999999999</v>
      </c>
      <c r="AA130" s="25" t="n">
        <f aca="false">AC130</f>
        <v>999999999</v>
      </c>
      <c r="AB130" s="24" t="n">
        <v>0</v>
      </c>
      <c r="AC130" s="25" t="n">
        <v>999999999</v>
      </c>
      <c r="AD130" s="25" t="n">
        <f aca="false">AF130</f>
        <v>999999999</v>
      </c>
      <c r="AE130" s="24" t="n">
        <v>0</v>
      </c>
      <c r="AF130" s="25" t="n">
        <v>999999999</v>
      </c>
      <c r="AG130" s="25" t="n">
        <v>999999999</v>
      </c>
    </row>
    <row r="131" customFormat="false" ht="15" hidden="false" customHeight="false" outlineLevel="0" collapsed="false">
      <c r="A131" s="20" t="s">
        <v>215</v>
      </c>
      <c r="B131" s="20" t="s">
        <v>114</v>
      </c>
      <c r="C131" s="28" t="str">
        <f aca="false">A131&amp;"|"&amp;B131</f>
        <v>MI|Single</v>
      </c>
      <c r="D131" s="24" t="n">
        <v>0.0425</v>
      </c>
      <c r="E131" s="25" t="n">
        <v>0</v>
      </c>
      <c r="F131" s="25" t="n">
        <f aca="false">H131</f>
        <v>999999999</v>
      </c>
      <c r="G131" s="24" t="n">
        <v>0</v>
      </c>
      <c r="H131" s="25" t="n">
        <v>999999999</v>
      </c>
      <c r="I131" s="25" t="n">
        <f aca="false">K131</f>
        <v>999999999</v>
      </c>
      <c r="J131" s="24" t="n">
        <v>0</v>
      </c>
      <c r="K131" s="25" t="n">
        <v>999999999</v>
      </c>
      <c r="L131" s="25" t="n">
        <f aca="false">N131</f>
        <v>999999999</v>
      </c>
      <c r="M131" s="24" t="n">
        <v>0</v>
      </c>
      <c r="N131" s="25" t="n">
        <v>999999999</v>
      </c>
      <c r="O131" s="25" t="n">
        <f aca="false">Q131</f>
        <v>999999999</v>
      </c>
      <c r="P131" s="24" t="n">
        <v>0</v>
      </c>
      <c r="Q131" s="25" t="n">
        <v>999999999</v>
      </c>
      <c r="R131" s="25" t="n">
        <f aca="false">T131</f>
        <v>999999999</v>
      </c>
      <c r="S131" s="24" t="n">
        <v>0</v>
      </c>
      <c r="T131" s="25" t="n">
        <v>999999999</v>
      </c>
      <c r="U131" s="25" t="n">
        <f aca="false">W131</f>
        <v>999999999</v>
      </c>
      <c r="V131" s="24" t="n">
        <v>0</v>
      </c>
      <c r="W131" s="25" t="n">
        <v>999999999</v>
      </c>
      <c r="X131" s="25" t="n">
        <f aca="false">Z131</f>
        <v>999999999</v>
      </c>
      <c r="Y131" s="24" t="n">
        <v>0</v>
      </c>
      <c r="Z131" s="25" t="n">
        <v>999999999</v>
      </c>
      <c r="AA131" s="25" t="n">
        <f aca="false">AC131</f>
        <v>999999999</v>
      </c>
      <c r="AB131" s="24" t="n">
        <v>0</v>
      </c>
      <c r="AC131" s="25" t="n">
        <v>999999999</v>
      </c>
      <c r="AD131" s="25" t="n">
        <f aca="false">AF131</f>
        <v>999999999</v>
      </c>
      <c r="AE131" s="24" t="n">
        <v>0</v>
      </c>
      <c r="AF131" s="25" t="n">
        <v>999999999</v>
      </c>
      <c r="AG131" s="25" t="n">
        <v>999999999</v>
      </c>
    </row>
    <row r="132" customFormat="false" ht="15" hidden="false" customHeight="false" outlineLevel="0" collapsed="false">
      <c r="A132" s="20" t="s">
        <v>215</v>
      </c>
      <c r="B132" s="20" t="s">
        <v>115</v>
      </c>
      <c r="C132" s="28" t="str">
        <f aca="false">A132&amp;"|"&amp;B132</f>
        <v>MI|MFJ</v>
      </c>
      <c r="D132" s="24" t="n">
        <v>0.0425</v>
      </c>
      <c r="E132" s="25" t="n">
        <v>0</v>
      </c>
      <c r="F132" s="25" t="n">
        <f aca="false">H132</f>
        <v>999999999</v>
      </c>
      <c r="G132" s="24" t="n">
        <v>0</v>
      </c>
      <c r="H132" s="25" t="n">
        <v>999999999</v>
      </c>
      <c r="I132" s="25" t="n">
        <f aca="false">K132</f>
        <v>999999999</v>
      </c>
      <c r="J132" s="24" t="n">
        <v>0</v>
      </c>
      <c r="K132" s="25" t="n">
        <v>999999999</v>
      </c>
      <c r="L132" s="25" t="n">
        <f aca="false">N132</f>
        <v>999999999</v>
      </c>
      <c r="M132" s="24" t="n">
        <v>0</v>
      </c>
      <c r="N132" s="25" t="n">
        <v>999999999</v>
      </c>
      <c r="O132" s="25" t="n">
        <f aca="false">Q132</f>
        <v>999999999</v>
      </c>
      <c r="P132" s="24" t="n">
        <v>0</v>
      </c>
      <c r="Q132" s="25" t="n">
        <v>999999999</v>
      </c>
      <c r="R132" s="25" t="n">
        <f aca="false">T132</f>
        <v>999999999</v>
      </c>
      <c r="S132" s="24" t="n">
        <v>0</v>
      </c>
      <c r="T132" s="25" t="n">
        <v>999999999</v>
      </c>
      <c r="U132" s="25" t="n">
        <f aca="false">W132</f>
        <v>999999999</v>
      </c>
      <c r="V132" s="24" t="n">
        <v>0</v>
      </c>
      <c r="W132" s="25" t="n">
        <v>999999999</v>
      </c>
      <c r="X132" s="25" t="n">
        <f aca="false">Z132</f>
        <v>999999999</v>
      </c>
      <c r="Y132" s="24" t="n">
        <v>0</v>
      </c>
      <c r="Z132" s="25" t="n">
        <v>999999999</v>
      </c>
      <c r="AA132" s="25" t="n">
        <f aca="false">AC132</f>
        <v>999999999</v>
      </c>
      <c r="AB132" s="24" t="n">
        <v>0</v>
      </c>
      <c r="AC132" s="25" t="n">
        <v>999999999</v>
      </c>
      <c r="AD132" s="25" t="n">
        <f aca="false">AF132</f>
        <v>999999999</v>
      </c>
      <c r="AE132" s="24" t="n">
        <v>0</v>
      </c>
      <c r="AF132" s="25" t="n">
        <v>999999999</v>
      </c>
      <c r="AG132" s="25" t="n">
        <v>999999999</v>
      </c>
    </row>
    <row r="133" customFormat="false" ht="15" hidden="false" customHeight="false" outlineLevel="0" collapsed="false">
      <c r="A133" s="20" t="s">
        <v>217</v>
      </c>
      <c r="B133" s="20" t="s">
        <v>114</v>
      </c>
      <c r="C133" s="28" t="str">
        <f aca="false">A133&amp;"|"&amp;B133</f>
        <v>MN|Single</v>
      </c>
      <c r="D133" s="24" t="n">
        <v>0.0535</v>
      </c>
      <c r="E133" s="25" t="n">
        <v>0</v>
      </c>
      <c r="F133" s="25" t="n">
        <f aca="false">H133</f>
        <v>32570</v>
      </c>
      <c r="G133" s="24" t="n">
        <v>0.068</v>
      </c>
      <c r="H133" s="25" t="n">
        <v>32570</v>
      </c>
      <c r="I133" s="25" t="n">
        <f aca="false">K133</f>
        <v>106990</v>
      </c>
      <c r="J133" s="24" t="n">
        <v>0.0785</v>
      </c>
      <c r="K133" s="25" t="n">
        <v>106990</v>
      </c>
      <c r="L133" s="25" t="n">
        <f aca="false">N133</f>
        <v>198630</v>
      </c>
      <c r="M133" s="24" t="n">
        <v>0.0985</v>
      </c>
      <c r="N133" s="25" t="n">
        <v>198630</v>
      </c>
      <c r="O133" s="25" t="n">
        <f aca="false">Q133</f>
        <v>999999999</v>
      </c>
      <c r="P133" s="24" t="n">
        <v>0</v>
      </c>
      <c r="Q133" s="25" t="n">
        <v>999999999</v>
      </c>
      <c r="R133" s="25" t="n">
        <f aca="false">T133</f>
        <v>999999999</v>
      </c>
      <c r="S133" s="24" t="n">
        <v>0</v>
      </c>
      <c r="T133" s="25" t="n">
        <v>999999999</v>
      </c>
      <c r="U133" s="25" t="n">
        <f aca="false">W133</f>
        <v>999999999</v>
      </c>
      <c r="V133" s="24" t="n">
        <v>0</v>
      </c>
      <c r="W133" s="25" t="n">
        <v>999999999</v>
      </c>
      <c r="X133" s="25" t="n">
        <f aca="false">Z133</f>
        <v>999999999</v>
      </c>
      <c r="Y133" s="24" t="n">
        <v>0</v>
      </c>
      <c r="Z133" s="25" t="n">
        <v>999999999</v>
      </c>
      <c r="AA133" s="25" t="n">
        <f aca="false">AC133</f>
        <v>999999999</v>
      </c>
      <c r="AB133" s="24" t="n">
        <v>0</v>
      </c>
      <c r="AC133" s="25" t="n">
        <v>999999999</v>
      </c>
      <c r="AD133" s="25" t="n">
        <f aca="false">AF133</f>
        <v>999999999</v>
      </c>
      <c r="AE133" s="24" t="n">
        <v>0</v>
      </c>
      <c r="AF133" s="25" t="n">
        <v>999999999</v>
      </c>
      <c r="AG133" s="25" t="n">
        <v>999999999</v>
      </c>
    </row>
    <row r="134" customFormat="false" ht="15" hidden="false" customHeight="false" outlineLevel="0" collapsed="false">
      <c r="A134" s="20" t="s">
        <v>217</v>
      </c>
      <c r="B134" s="20" t="s">
        <v>115</v>
      </c>
      <c r="C134" s="28" t="str">
        <f aca="false">A134&amp;"|"&amp;B134</f>
        <v>MN|MFJ</v>
      </c>
      <c r="D134" s="24" t="n">
        <v>0.0535</v>
      </c>
      <c r="E134" s="25" t="n">
        <v>0</v>
      </c>
      <c r="F134" s="25" t="n">
        <f aca="false">H134</f>
        <v>47620</v>
      </c>
      <c r="G134" s="24" t="n">
        <v>0.068</v>
      </c>
      <c r="H134" s="25" t="n">
        <v>47620</v>
      </c>
      <c r="I134" s="25" t="n">
        <f aca="false">K134</f>
        <v>189180</v>
      </c>
      <c r="J134" s="24" t="n">
        <v>0.0785</v>
      </c>
      <c r="K134" s="25" t="n">
        <v>189180</v>
      </c>
      <c r="L134" s="25" t="n">
        <f aca="false">N134</f>
        <v>330410</v>
      </c>
      <c r="M134" s="24" t="n">
        <v>0.0985</v>
      </c>
      <c r="N134" s="25" t="n">
        <v>330410</v>
      </c>
      <c r="O134" s="25" t="n">
        <f aca="false">Q134</f>
        <v>999999999</v>
      </c>
      <c r="P134" s="24" t="n">
        <v>0</v>
      </c>
      <c r="Q134" s="25" t="n">
        <v>999999999</v>
      </c>
      <c r="R134" s="25" t="n">
        <f aca="false">T134</f>
        <v>999999999</v>
      </c>
      <c r="S134" s="24" t="n">
        <v>0</v>
      </c>
      <c r="T134" s="25" t="n">
        <v>999999999</v>
      </c>
      <c r="U134" s="25" t="n">
        <f aca="false">W134</f>
        <v>999999999</v>
      </c>
      <c r="V134" s="24" t="n">
        <v>0</v>
      </c>
      <c r="W134" s="25" t="n">
        <v>999999999</v>
      </c>
      <c r="X134" s="25" t="n">
        <f aca="false">Z134</f>
        <v>999999999</v>
      </c>
      <c r="Y134" s="24" t="n">
        <v>0</v>
      </c>
      <c r="Z134" s="25" t="n">
        <v>999999999</v>
      </c>
      <c r="AA134" s="25" t="n">
        <f aca="false">AC134</f>
        <v>999999999</v>
      </c>
      <c r="AB134" s="24" t="n">
        <v>0</v>
      </c>
      <c r="AC134" s="25" t="n">
        <v>999999999</v>
      </c>
      <c r="AD134" s="25" t="n">
        <f aca="false">AF134</f>
        <v>999999999</v>
      </c>
      <c r="AE134" s="24" t="n">
        <v>0</v>
      </c>
      <c r="AF134" s="25" t="n">
        <v>999999999</v>
      </c>
      <c r="AG134" s="25" t="n">
        <v>999999999</v>
      </c>
    </row>
    <row r="135" customFormat="false" ht="15" hidden="false" customHeight="false" outlineLevel="0" collapsed="false">
      <c r="A135" s="20" t="s">
        <v>219</v>
      </c>
      <c r="B135" s="20" t="s">
        <v>114</v>
      </c>
      <c r="C135" s="28" t="str">
        <f aca="false">A135&amp;"|"&amp;B135</f>
        <v>MS|Single</v>
      </c>
      <c r="D135" s="24" t="n">
        <v>0.044</v>
      </c>
      <c r="E135" s="25" t="n">
        <v>0</v>
      </c>
      <c r="F135" s="25" t="n">
        <f aca="false">H135</f>
        <v>999999999</v>
      </c>
      <c r="G135" s="24" t="n">
        <v>0</v>
      </c>
      <c r="H135" s="25" t="n">
        <v>999999999</v>
      </c>
      <c r="I135" s="25" t="n">
        <f aca="false">K135</f>
        <v>999999999</v>
      </c>
      <c r="J135" s="24" t="n">
        <v>0</v>
      </c>
      <c r="K135" s="25" t="n">
        <v>999999999</v>
      </c>
      <c r="L135" s="25" t="n">
        <f aca="false">N135</f>
        <v>999999999</v>
      </c>
      <c r="M135" s="24" t="n">
        <v>0</v>
      </c>
      <c r="N135" s="25" t="n">
        <v>999999999</v>
      </c>
      <c r="O135" s="25" t="n">
        <f aca="false">Q135</f>
        <v>999999999</v>
      </c>
      <c r="P135" s="24" t="n">
        <v>0</v>
      </c>
      <c r="Q135" s="25" t="n">
        <v>999999999</v>
      </c>
      <c r="R135" s="25" t="n">
        <f aca="false">T135</f>
        <v>999999999</v>
      </c>
      <c r="S135" s="24" t="n">
        <v>0</v>
      </c>
      <c r="T135" s="25" t="n">
        <v>999999999</v>
      </c>
      <c r="U135" s="25" t="n">
        <f aca="false">W135</f>
        <v>999999999</v>
      </c>
      <c r="V135" s="24" t="n">
        <v>0</v>
      </c>
      <c r="W135" s="25" t="n">
        <v>999999999</v>
      </c>
      <c r="X135" s="25" t="n">
        <f aca="false">Z135</f>
        <v>999999999</v>
      </c>
      <c r="Y135" s="24" t="n">
        <v>0</v>
      </c>
      <c r="Z135" s="25" t="n">
        <v>999999999</v>
      </c>
      <c r="AA135" s="25" t="n">
        <f aca="false">AC135</f>
        <v>999999999</v>
      </c>
      <c r="AB135" s="24" t="n">
        <v>0</v>
      </c>
      <c r="AC135" s="25" t="n">
        <v>999999999</v>
      </c>
      <c r="AD135" s="25" t="n">
        <f aca="false">AF135</f>
        <v>999999999</v>
      </c>
      <c r="AE135" s="24" t="n">
        <v>0</v>
      </c>
      <c r="AF135" s="25" t="n">
        <v>999999999</v>
      </c>
      <c r="AG135" s="25" t="n">
        <v>999999999</v>
      </c>
    </row>
    <row r="136" customFormat="false" ht="15" hidden="false" customHeight="false" outlineLevel="0" collapsed="false">
      <c r="A136" s="20" t="s">
        <v>219</v>
      </c>
      <c r="B136" s="20" t="s">
        <v>115</v>
      </c>
      <c r="C136" s="28" t="str">
        <f aca="false">A136&amp;"|"&amp;B136</f>
        <v>MS|MFJ</v>
      </c>
      <c r="D136" s="24" t="n">
        <v>0.044</v>
      </c>
      <c r="E136" s="25" t="n">
        <v>0</v>
      </c>
      <c r="F136" s="25" t="n">
        <f aca="false">H136</f>
        <v>999999999</v>
      </c>
      <c r="G136" s="24" t="n">
        <v>0</v>
      </c>
      <c r="H136" s="25" t="n">
        <v>999999999</v>
      </c>
      <c r="I136" s="25" t="n">
        <f aca="false">K136</f>
        <v>999999999</v>
      </c>
      <c r="J136" s="24" t="n">
        <v>0</v>
      </c>
      <c r="K136" s="25" t="n">
        <v>999999999</v>
      </c>
      <c r="L136" s="25" t="n">
        <f aca="false">N136</f>
        <v>999999999</v>
      </c>
      <c r="M136" s="24" t="n">
        <v>0</v>
      </c>
      <c r="N136" s="25" t="n">
        <v>999999999</v>
      </c>
      <c r="O136" s="25" t="n">
        <f aca="false">Q136</f>
        <v>999999999</v>
      </c>
      <c r="P136" s="24" t="n">
        <v>0</v>
      </c>
      <c r="Q136" s="25" t="n">
        <v>999999999</v>
      </c>
      <c r="R136" s="25" t="n">
        <f aca="false">T136</f>
        <v>999999999</v>
      </c>
      <c r="S136" s="24" t="n">
        <v>0</v>
      </c>
      <c r="T136" s="25" t="n">
        <v>999999999</v>
      </c>
      <c r="U136" s="25" t="n">
        <f aca="false">W136</f>
        <v>999999999</v>
      </c>
      <c r="V136" s="24" t="n">
        <v>0</v>
      </c>
      <c r="W136" s="25" t="n">
        <v>999999999</v>
      </c>
      <c r="X136" s="25" t="n">
        <f aca="false">Z136</f>
        <v>999999999</v>
      </c>
      <c r="Y136" s="24" t="n">
        <v>0</v>
      </c>
      <c r="Z136" s="25" t="n">
        <v>999999999</v>
      </c>
      <c r="AA136" s="25" t="n">
        <f aca="false">AC136</f>
        <v>999999999</v>
      </c>
      <c r="AB136" s="24" t="n">
        <v>0</v>
      </c>
      <c r="AC136" s="25" t="n">
        <v>999999999</v>
      </c>
      <c r="AD136" s="25" t="n">
        <f aca="false">AF136</f>
        <v>999999999</v>
      </c>
      <c r="AE136" s="24" t="n">
        <v>0</v>
      </c>
      <c r="AF136" s="25" t="n">
        <v>999999999</v>
      </c>
      <c r="AG136" s="25" t="n">
        <v>999999999</v>
      </c>
    </row>
    <row r="137" customFormat="false" ht="15" hidden="false" customHeight="false" outlineLevel="0" collapsed="false">
      <c r="A137" s="20" t="s">
        <v>223</v>
      </c>
      <c r="B137" s="20" t="s">
        <v>114</v>
      </c>
      <c r="C137" s="28" t="str">
        <f aca="false">A137&amp;"|"&amp;B137</f>
        <v>MO|Single</v>
      </c>
      <c r="D137" s="24" t="n">
        <v>0</v>
      </c>
      <c r="E137" s="25" t="n">
        <v>0</v>
      </c>
      <c r="F137" s="25" t="n">
        <f aca="false">H137</f>
        <v>1273</v>
      </c>
      <c r="G137" s="24" t="n">
        <v>0.02</v>
      </c>
      <c r="H137" s="25" t="n">
        <v>1273</v>
      </c>
      <c r="I137" s="25" t="n">
        <f aca="false">K137</f>
        <v>2546</v>
      </c>
      <c r="J137" s="24" t="n">
        <v>0.025</v>
      </c>
      <c r="K137" s="25" t="n">
        <v>2546</v>
      </c>
      <c r="L137" s="25" t="n">
        <f aca="false">N137</f>
        <v>3819</v>
      </c>
      <c r="M137" s="24" t="n">
        <v>0.03</v>
      </c>
      <c r="N137" s="25" t="n">
        <v>3819</v>
      </c>
      <c r="O137" s="25" t="n">
        <f aca="false">Q137</f>
        <v>5092</v>
      </c>
      <c r="P137" s="24" t="n">
        <v>0.035</v>
      </c>
      <c r="Q137" s="25" t="n">
        <v>5092</v>
      </c>
      <c r="R137" s="25" t="n">
        <f aca="false">T137</f>
        <v>6365</v>
      </c>
      <c r="S137" s="24" t="n">
        <v>0.04</v>
      </c>
      <c r="T137" s="25" t="n">
        <v>6365</v>
      </c>
      <c r="U137" s="25" t="n">
        <f aca="false">W137</f>
        <v>7638</v>
      </c>
      <c r="V137" s="24" t="n">
        <v>0.045</v>
      </c>
      <c r="W137" s="25" t="n">
        <v>7638</v>
      </c>
      <c r="X137" s="25" t="n">
        <f aca="false">Z137</f>
        <v>8911</v>
      </c>
      <c r="Y137" s="24" t="n">
        <v>0.047</v>
      </c>
      <c r="Z137" s="25" t="n">
        <v>8911</v>
      </c>
      <c r="AA137" s="25" t="n">
        <f aca="false">AC137</f>
        <v>999999999</v>
      </c>
      <c r="AB137" s="24" t="n">
        <v>0</v>
      </c>
      <c r="AC137" s="25" t="n">
        <v>999999999</v>
      </c>
      <c r="AD137" s="25" t="n">
        <f aca="false">AF137</f>
        <v>999999999</v>
      </c>
      <c r="AE137" s="24" t="n">
        <v>0</v>
      </c>
      <c r="AF137" s="25" t="n">
        <v>999999999</v>
      </c>
      <c r="AG137" s="25" t="n">
        <v>999999999</v>
      </c>
    </row>
    <row r="138" customFormat="false" ht="15" hidden="false" customHeight="false" outlineLevel="0" collapsed="false">
      <c r="A138" s="20" t="s">
        <v>223</v>
      </c>
      <c r="B138" s="20" t="s">
        <v>115</v>
      </c>
      <c r="C138" s="28" t="str">
        <f aca="false">A138&amp;"|"&amp;B138</f>
        <v>MO|MFJ</v>
      </c>
      <c r="D138" s="24" t="n">
        <v>0</v>
      </c>
      <c r="E138" s="25" t="n">
        <v>0</v>
      </c>
      <c r="F138" s="25" t="n">
        <f aca="false">H138</f>
        <v>1273</v>
      </c>
      <c r="G138" s="24" t="n">
        <v>0.02</v>
      </c>
      <c r="H138" s="25" t="n">
        <v>1273</v>
      </c>
      <c r="I138" s="25" t="n">
        <f aca="false">K138</f>
        <v>2546</v>
      </c>
      <c r="J138" s="24" t="n">
        <v>0.025</v>
      </c>
      <c r="K138" s="25" t="n">
        <v>2546</v>
      </c>
      <c r="L138" s="25" t="n">
        <f aca="false">N138</f>
        <v>3819</v>
      </c>
      <c r="M138" s="24" t="n">
        <v>0.03</v>
      </c>
      <c r="N138" s="25" t="n">
        <v>3819</v>
      </c>
      <c r="O138" s="25" t="n">
        <f aca="false">Q138</f>
        <v>5092</v>
      </c>
      <c r="P138" s="24" t="n">
        <v>0.035</v>
      </c>
      <c r="Q138" s="25" t="n">
        <v>5092</v>
      </c>
      <c r="R138" s="25" t="n">
        <f aca="false">T138</f>
        <v>6365</v>
      </c>
      <c r="S138" s="24" t="n">
        <v>0.04</v>
      </c>
      <c r="T138" s="25" t="n">
        <v>6365</v>
      </c>
      <c r="U138" s="25" t="n">
        <f aca="false">W138</f>
        <v>7638</v>
      </c>
      <c r="V138" s="24" t="n">
        <v>0.045</v>
      </c>
      <c r="W138" s="25" t="n">
        <v>7638</v>
      </c>
      <c r="X138" s="25" t="n">
        <f aca="false">Z138</f>
        <v>8911</v>
      </c>
      <c r="Y138" s="24" t="n">
        <v>0.047</v>
      </c>
      <c r="Z138" s="25" t="n">
        <v>8911</v>
      </c>
      <c r="AA138" s="25" t="n">
        <f aca="false">AC138</f>
        <v>999999999</v>
      </c>
      <c r="AB138" s="24" t="n">
        <v>0</v>
      </c>
      <c r="AC138" s="25" t="n">
        <v>999999999</v>
      </c>
      <c r="AD138" s="25" t="n">
        <f aca="false">AF138</f>
        <v>999999999</v>
      </c>
      <c r="AE138" s="24" t="n">
        <v>0</v>
      </c>
      <c r="AF138" s="25" t="n">
        <v>999999999</v>
      </c>
      <c r="AG138" s="25" t="n">
        <v>999999999</v>
      </c>
    </row>
    <row r="139" customFormat="false" ht="15" hidden="false" customHeight="false" outlineLevel="0" collapsed="false">
      <c r="A139" s="20" t="s">
        <v>225</v>
      </c>
      <c r="B139" s="20" t="s">
        <v>114</v>
      </c>
      <c r="C139" s="28" t="str">
        <f aca="false">A139&amp;"|"&amp;B139</f>
        <v>MT|Single</v>
      </c>
      <c r="D139" s="24" t="n">
        <v>0.047</v>
      </c>
      <c r="E139" s="25" t="n">
        <v>0</v>
      </c>
      <c r="F139" s="25" t="n">
        <f aca="false">H139</f>
        <v>21100</v>
      </c>
      <c r="G139" s="24" t="n">
        <v>0.0565</v>
      </c>
      <c r="H139" s="25" t="n">
        <v>21100</v>
      </c>
      <c r="I139" s="25" t="n">
        <f aca="false">K139</f>
        <v>999999999</v>
      </c>
      <c r="J139" s="24" t="n">
        <v>0</v>
      </c>
      <c r="K139" s="25" t="n">
        <v>999999999</v>
      </c>
      <c r="L139" s="25" t="n">
        <f aca="false">N139</f>
        <v>999999999</v>
      </c>
      <c r="M139" s="24" t="n">
        <v>0</v>
      </c>
      <c r="N139" s="25" t="n">
        <v>999999999</v>
      </c>
      <c r="O139" s="25" t="n">
        <f aca="false">Q139</f>
        <v>999999999</v>
      </c>
      <c r="P139" s="24" t="n">
        <v>0</v>
      </c>
      <c r="Q139" s="25" t="n">
        <v>999999999</v>
      </c>
      <c r="R139" s="25" t="n">
        <f aca="false">T139</f>
        <v>999999999</v>
      </c>
      <c r="S139" s="24" t="n">
        <v>0</v>
      </c>
      <c r="T139" s="25" t="n">
        <v>999999999</v>
      </c>
      <c r="U139" s="25" t="n">
        <f aca="false">W139</f>
        <v>999999999</v>
      </c>
      <c r="V139" s="24" t="n">
        <v>0</v>
      </c>
      <c r="W139" s="25" t="n">
        <v>999999999</v>
      </c>
      <c r="X139" s="25" t="n">
        <f aca="false">Z139</f>
        <v>999999999</v>
      </c>
      <c r="Y139" s="24" t="n">
        <v>0</v>
      </c>
      <c r="Z139" s="25" t="n">
        <v>999999999</v>
      </c>
      <c r="AA139" s="25" t="n">
        <f aca="false">AC139</f>
        <v>999999999</v>
      </c>
      <c r="AB139" s="24" t="n">
        <v>0</v>
      </c>
      <c r="AC139" s="25" t="n">
        <v>999999999</v>
      </c>
      <c r="AD139" s="25" t="n">
        <f aca="false">AF139</f>
        <v>999999999</v>
      </c>
      <c r="AE139" s="24" t="n">
        <v>0</v>
      </c>
      <c r="AF139" s="25" t="n">
        <v>999999999</v>
      </c>
      <c r="AG139" s="25" t="n">
        <v>999999999</v>
      </c>
    </row>
    <row r="140" customFormat="false" ht="15" hidden="false" customHeight="false" outlineLevel="0" collapsed="false">
      <c r="A140" s="20" t="s">
        <v>225</v>
      </c>
      <c r="B140" s="20" t="s">
        <v>115</v>
      </c>
      <c r="C140" s="28" t="str">
        <f aca="false">A140&amp;"|"&amp;B140</f>
        <v>MT|MFJ</v>
      </c>
      <c r="D140" s="24" t="n">
        <v>0.047</v>
      </c>
      <c r="E140" s="25" t="n">
        <v>0</v>
      </c>
      <c r="F140" s="25" t="n">
        <f aca="false">H140</f>
        <v>42200</v>
      </c>
      <c r="G140" s="24" t="n">
        <v>0.0565</v>
      </c>
      <c r="H140" s="25" t="n">
        <v>42200</v>
      </c>
      <c r="I140" s="25" t="n">
        <f aca="false">K140</f>
        <v>999999999</v>
      </c>
      <c r="J140" s="24" t="n">
        <v>0</v>
      </c>
      <c r="K140" s="25" t="n">
        <v>999999999</v>
      </c>
      <c r="L140" s="25" t="n">
        <f aca="false">N140</f>
        <v>999999999</v>
      </c>
      <c r="M140" s="24" t="n">
        <v>0</v>
      </c>
      <c r="N140" s="25" t="n">
        <v>999999999</v>
      </c>
      <c r="O140" s="25" t="n">
        <f aca="false">Q140</f>
        <v>999999999</v>
      </c>
      <c r="P140" s="24" t="n">
        <v>0</v>
      </c>
      <c r="Q140" s="25" t="n">
        <v>999999999</v>
      </c>
      <c r="R140" s="25" t="n">
        <f aca="false">T140</f>
        <v>999999999</v>
      </c>
      <c r="S140" s="24" t="n">
        <v>0</v>
      </c>
      <c r="T140" s="25" t="n">
        <v>999999999</v>
      </c>
      <c r="U140" s="25" t="n">
        <f aca="false">W140</f>
        <v>999999999</v>
      </c>
      <c r="V140" s="24" t="n">
        <v>0</v>
      </c>
      <c r="W140" s="25" t="n">
        <v>999999999</v>
      </c>
      <c r="X140" s="25" t="n">
        <f aca="false">Z140</f>
        <v>999999999</v>
      </c>
      <c r="Y140" s="24" t="n">
        <v>0</v>
      </c>
      <c r="Z140" s="25" t="n">
        <v>999999999</v>
      </c>
      <c r="AA140" s="25" t="n">
        <f aca="false">AC140</f>
        <v>999999999</v>
      </c>
      <c r="AB140" s="24" t="n">
        <v>0</v>
      </c>
      <c r="AC140" s="25" t="n">
        <v>999999999</v>
      </c>
      <c r="AD140" s="25" t="n">
        <f aca="false">AF140</f>
        <v>999999999</v>
      </c>
      <c r="AE140" s="24" t="n">
        <v>0</v>
      </c>
      <c r="AF140" s="25" t="n">
        <v>999999999</v>
      </c>
      <c r="AG140" s="25" t="n">
        <v>999999999</v>
      </c>
    </row>
    <row r="141" customFormat="false" ht="15" hidden="false" customHeight="false" outlineLevel="0" collapsed="false">
      <c r="A141" s="20" t="s">
        <v>228</v>
      </c>
      <c r="B141" s="20" t="s">
        <v>114</v>
      </c>
      <c r="C141" s="28" t="str">
        <f aca="false">A141&amp;"|"&amp;B141</f>
        <v>NE|Single</v>
      </c>
      <c r="D141" s="24" t="n">
        <v>0.0246</v>
      </c>
      <c r="E141" s="25" t="n">
        <v>0</v>
      </c>
      <c r="F141" s="25" t="n">
        <f aca="false">H141</f>
        <v>3700</v>
      </c>
      <c r="G141" s="24" t="n">
        <v>0.0351</v>
      </c>
      <c r="H141" s="25" t="n">
        <v>3700</v>
      </c>
      <c r="I141" s="25" t="n">
        <f aca="false">K141</f>
        <v>22170</v>
      </c>
      <c r="J141" s="24" t="n">
        <v>0.0501</v>
      </c>
      <c r="K141" s="25" t="n">
        <v>22170</v>
      </c>
      <c r="L141" s="25" t="n">
        <f aca="false">N141</f>
        <v>38870</v>
      </c>
      <c r="M141" s="24" t="n">
        <v>0.052</v>
      </c>
      <c r="N141" s="25" t="n">
        <v>38870</v>
      </c>
      <c r="O141" s="25" t="n">
        <f aca="false">Q141</f>
        <v>999999999</v>
      </c>
      <c r="P141" s="24" t="n">
        <v>0</v>
      </c>
      <c r="Q141" s="25" t="n">
        <v>999999999</v>
      </c>
      <c r="R141" s="25" t="n">
        <f aca="false">T141</f>
        <v>999999999</v>
      </c>
      <c r="S141" s="24" t="n">
        <v>0</v>
      </c>
      <c r="T141" s="25" t="n">
        <v>999999999</v>
      </c>
      <c r="U141" s="25" t="n">
        <f aca="false">W141</f>
        <v>999999999</v>
      </c>
      <c r="V141" s="24" t="n">
        <v>0</v>
      </c>
      <c r="W141" s="25" t="n">
        <v>999999999</v>
      </c>
      <c r="X141" s="25" t="n">
        <f aca="false">Z141</f>
        <v>999999999</v>
      </c>
      <c r="Y141" s="24" t="n">
        <v>0</v>
      </c>
      <c r="Z141" s="25" t="n">
        <v>999999999</v>
      </c>
      <c r="AA141" s="25" t="n">
        <f aca="false">AC141</f>
        <v>999999999</v>
      </c>
      <c r="AB141" s="24" t="n">
        <v>0</v>
      </c>
      <c r="AC141" s="25" t="n">
        <v>999999999</v>
      </c>
      <c r="AD141" s="25" t="n">
        <f aca="false">AF141</f>
        <v>999999999</v>
      </c>
      <c r="AE141" s="24" t="n">
        <v>0</v>
      </c>
      <c r="AF141" s="25" t="n">
        <v>999999999</v>
      </c>
      <c r="AG141" s="25" t="n">
        <v>999999999</v>
      </c>
    </row>
    <row r="142" customFormat="false" ht="15" hidden="false" customHeight="false" outlineLevel="0" collapsed="false">
      <c r="A142" s="20" t="s">
        <v>228</v>
      </c>
      <c r="B142" s="20" t="s">
        <v>115</v>
      </c>
      <c r="C142" s="28" t="str">
        <f aca="false">A142&amp;"|"&amp;B142</f>
        <v>NE|MFJ</v>
      </c>
      <c r="D142" s="24" t="n">
        <v>0.0246</v>
      </c>
      <c r="E142" s="25" t="n">
        <v>0</v>
      </c>
      <c r="F142" s="25" t="n">
        <f aca="false">H142</f>
        <v>7390</v>
      </c>
      <c r="G142" s="24" t="n">
        <v>0.0351</v>
      </c>
      <c r="H142" s="25" t="n">
        <v>7390</v>
      </c>
      <c r="I142" s="25" t="n">
        <f aca="false">K142</f>
        <v>44340</v>
      </c>
      <c r="J142" s="24" t="n">
        <v>0.0501</v>
      </c>
      <c r="K142" s="25" t="n">
        <v>44340</v>
      </c>
      <c r="L142" s="25" t="n">
        <f aca="false">N142</f>
        <v>77730</v>
      </c>
      <c r="M142" s="24" t="n">
        <v>0.052</v>
      </c>
      <c r="N142" s="25" t="n">
        <v>77730</v>
      </c>
      <c r="O142" s="25" t="n">
        <f aca="false">Q142</f>
        <v>999999999</v>
      </c>
      <c r="P142" s="24" t="n">
        <v>0</v>
      </c>
      <c r="Q142" s="25" t="n">
        <v>999999999</v>
      </c>
      <c r="R142" s="25" t="n">
        <f aca="false">T142</f>
        <v>999999999</v>
      </c>
      <c r="S142" s="24" t="n">
        <v>0</v>
      </c>
      <c r="T142" s="25" t="n">
        <v>999999999</v>
      </c>
      <c r="U142" s="25" t="n">
        <f aca="false">W142</f>
        <v>999999999</v>
      </c>
      <c r="V142" s="24" t="n">
        <v>0</v>
      </c>
      <c r="W142" s="25" t="n">
        <v>999999999</v>
      </c>
      <c r="X142" s="25" t="n">
        <f aca="false">Z142</f>
        <v>999999999</v>
      </c>
      <c r="Y142" s="24" t="n">
        <v>0</v>
      </c>
      <c r="Z142" s="25" t="n">
        <v>999999999</v>
      </c>
      <c r="AA142" s="25" t="n">
        <f aca="false">AC142</f>
        <v>999999999</v>
      </c>
      <c r="AB142" s="24" t="n">
        <v>0</v>
      </c>
      <c r="AC142" s="25" t="n">
        <v>999999999</v>
      </c>
      <c r="AD142" s="25" t="n">
        <f aca="false">AF142</f>
        <v>999999999</v>
      </c>
      <c r="AE142" s="24" t="n">
        <v>0</v>
      </c>
      <c r="AF142" s="25" t="n">
        <v>999999999</v>
      </c>
      <c r="AG142" s="25" t="n">
        <v>999999999</v>
      </c>
    </row>
    <row r="143" customFormat="false" ht="15" hidden="false" customHeight="false" outlineLevel="0" collapsed="false">
      <c r="A143" s="20" t="s">
        <v>231</v>
      </c>
      <c r="B143" s="20" t="s">
        <v>114</v>
      </c>
      <c r="C143" s="28" t="str">
        <f aca="false">A143&amp;"|"&amp;B143</f>
        <v>NV|Single</v>
      </c>
      <c r="D143" s="24" t="n">
        <v>0</v>
      </c>
      <c r="E143" s="25" t="n">
        <v>0</v>
      </c>
      <c r="F143" s="25" t="n">
        <f aca="false">H143</f>
        <v>999999999</v>
      </c>
      <c r="G143" s="24" t="n">
        <v>0</v>
      </c>
      <c r="H143" s="25" t="n">
        <v>999999999</v>
      </c>
      <c r="I143" s="25" t="n">
        <f aca="false">K143</f>
        <v>999999999</v>
      </c>
      <c r="J143" s="24" t="n">
        <v>0</v>
      </c>
      <c r="K143" s="25" t="n">
        <v>999999999</v>
      </c>
      <c r="L143" s="25" t="n">
        <f aca="false">N143</f>
        <v>999999999</v>
      </c>
      <c r="M143" s="24" t="n">
        <v>0</v>
      </c>
      <c r="N143" s="25" t="n">
        <v>999999999</v>
      </c>
      <c r="O143" s="25" t="n">
        <f aca="false">Q143</f>
        <v>999999999</v>
      </c>
      <c r="P143" s="24" t="n">
        <v>0</v>
      </c>
      <c r="Q143" s="25" t="n">
        <v>999999999</v>
      </c>
      <c r="R143" s="25" t="n">
        <f aca="false">T143</f>
        <v>999999999</v>
      </c>
      <c r="S143" s="24" t="n">
        <v>0</v>
      </c>
      <c r="T143" s="25" t="n">
        <v>999999999</v>
      </c>
      <c r="U143" s="25" t="n">
        <f aca="false">W143</f>
        <v>999999999</v>
      </c>
      <c r="V143" s="24" t="n">
        <v>0</v>
      </c>
      <c r="W143" s="25" t="n">
        <v>999999999</v>
      </c>
      <c r="X143" s="25" t="n">
        <f aca="false">Z143</f>
        <v>999999999</v>
      </c>
      <c r="Y143" s="24" t="n">
        <v>0</v>
      </c>
      <c r="Z143" s="25" t="n">
        <v>999999999</v>
      </c>
      <c r="AA143" s="25" t="n">
        <f aca="false">AC143</f>
        <v>999999999</v>
      </c>
      <c r="AB143" s="24" t="n">
        <v>0</v>
      </c>
      <c r="AC143" s="25" t="n">
        <v>999999999</v>
      </c>
      <c r="AD143" s="25" t="n">
        <f aca="false">AF143</f>
        <v>999999999</v>
      </c>
      <c r="AE143" s="24" t="n">
        <v>0</v>
      </c>
      <c r="AF143" s="25" t="n">
        <v>999999999</v>
      </c>
      <c r="AG143" s="25" t="n">
        <v>999999999</v>
      </c>
    </row>
    <row r="144" customFormat="false" ht="15" hidden="false" customHeight="false" outlineLevel="0" collapsed="false">
      <c r="A144" s="20" t="s">
        <v>231</v>
      </c>
      <c r="B144" s="20" t="s">
        <v>115</v>
      </c>
      <c r="C144" s="28" t="str">
        <f aca="false">A144&amp;"|"&amp;B144</f>
        <v>NV|MFJ</v>
      </c>
      <c r="D144" s="24" t="n">
        <v>0</v>
      </c>
      <c r="E144" s="25" t="n">
        <v>0</v>
      </c>
      <c r="F144" s="25" t="n">
        <f aca="false">H144</f>
        <v>999999999</v>
      </c>
      <c r="G144" s="24" t="n">
        <v>0</v>
      </c>
      <c r="H144" s="25" t="n">
        <v>999999999</v>
      </c>
      <c r="I144" s="25" t="n">
        <f aca="false">K144</f>
        <v>999999999</v>
      </c>
      <c r="J144" s="24" t="n">
        <v>0</v>
      </c>
      <c r="K144" s="25" t="n">
        <v>999999999</v>
      </c>
      <c r="L144" s="25" t="n">
        <f aca="false">N144</f>
        <v>999999999</v>
      </c>
      <c r="M144" s="24" t="n">
        <v>0</v>
      </c>
      <c r="N144" s="25" t="n">
        <v>999999999</v>
      </c>
      <c r="O144" s="25" t="n">
        <f aca="false">Q144</f>
        <v>999999999</v>
      </c>
      <c r="P144" s="24" t="n">
        <v>0</v>
      </c>
      <c r="Q144" s="25" t="n">
        <v>999999999</v>
      </c>
      <c r="R144" s="25" t="n">
        <f aca="false">T144</f>
        <v>999999999</v>
      </c>
      <c r="S144" s="24" t="n">
        <v>0</v>
      </c>
      <c r="T144" s="25" t="n">
        <v>999999999</v>
      </c>
      <c r="U144" s="25" t="n">
        <f aca="false">W144</f>
        <v>999999999</v>
      </c>
      <c r="V144" s="24" t="n">
        <v>0</v>
      </c>
      <c r="W144" s="25" t="n">
        <v>999999999</v>
      </c>
      <c r="X144" s="25" t="n">
        <f aca="false">Z144</f>
        <v>999999999</v>
      </c>
      <c r="Y144" s="24" t="n">
        <v>0</v>
      </c>
      <c r="Z144" s="25" t="n">
        <v>999999999</v>
      </c>
      <c r="AA144" s="25" t="n">
        <f aca="false">AC144</f>
        <v>999999999</v>
      </c>
      <c r="AB144" s="24" t="n">
        <v>0</v>
      </c>
      <c r="AC144" s="25" t="n">
        <v>999999999</v>
      </c>
      <c r="AD144" s="25" t="n">
        <f aca="false">AF144</f>
        <v>999999999</v>
      </c>
      <c r="AE144" s="24" t="n">
        <v>0</v>
      </c>
      <c r="AF144" s="25" t="n">
        <v>999999999</v>
      </c>
      <c r="AG144" s="25" t="n">
        <v>999999999</v>
      </c>
    </row>
    <row r="145" customFormat="false" ht="15" hidden="false" customHeight="false" outlineLevel="0" collapsed="false">
      <c r="A145" s="20" t="s">
        <v>233</v>
      </c>
      <c r="B145" s="20" t="s">
        <v>114</v>
      </c>
      <c r="C145" s="28" t="str">
        <f aca="false">A145&amp;"|"&amp;B145</f>
        <v>NH|Single</v>
      </c>
      <c r="D145" s="24" t="n">
        <v>0</v>
      </c>
      <c r="E145" s="25" t="n">
        <v>0</v>
      </c>
      <c r="F145" s="25" t="n">
        <f aca="false">H145</f>
        <v>999999999</v>
      </c>
      <c r="G145" s="24" t="n">
        <v>0</v>
      </c>
      <c r="H145" s="25" t="n">
        <v>999999999</v>
      </c>
      <c r="I145" s="25" t="n">
        <f aca="false">K145</f>
        <v>999999999</v>
      </c>
      <c r="J145" s="24" t="n">
        <v>0</v>
      </c>
      <c r="K145" s="25" t="n">
        <v>999999999</v>
      </c>
      <c r="L145" s="25" t="n">
        <f aca="false">N145</f>
        <v>999999999</v>
      </c>
      <c r="M145" s="24" t="n">
        <v>0</v>
      </c>
      <c r="N145" s="25" t="n">
        <v>999999999</v>
      </c>
      <c r="O145" s="25" t="n">
        <f aca="false">Q145</f>
        <v>999999999</v>
      </c>
      <c r="P145" s="24" t="n">
        <v>0</v>
      </c>
      <c r="Q145" s="25" t="n">
        <v>999999999</v>
      </c>
      <c r="R145" s="25" t="n">
        <f aca="false">T145</f>
        <v>999999999</v>
      </c>
      <c r="S145" s="24" t="n">
        <v>0</v>
      </c>
      <c r="T145" s="25" t="n">
        <v>999999999</v>
      </c>
      <c r="U145" s="25" t="n">
        <f aca="false">W145</f>
        <v>999999999</v>
      </c>
      <c r="V145" s="24" t="n">
        <v>0</v>
      </c>
      <c r="W145" s="25" t="n">
        <v>999999999</v>
      </c>
      <c r="X145" s="25" t="n">
        <f aca="false">Z145</f>
        <v>999999999</v>
      </c>
      <c r="Y145" s="24" t="n">
        <v>0</v>
      </c>
      <c r="Z145" s="25" t="n">
        <v>999999999</v>
      </c>
      <c r="AA145" s="25" t="n">
        <f aca="false">AC145</f>
        <v>999999999</v>
      </c>
      <c r="AB145" s="24" t="n">
        <v>0</v>
      </c>
      <c r="AC145" s="25" t="n">
        <v>999999999</v>
      </c>
      <c r="AD145" s="25" t="n">
        <f aca="false">AF145</f>
        <v>999999999</v>
      </c>
      <c r="AE145" s="24" t="n">
        <v>0</v>
      </c>
      <c r="AF145" s="25" t="n">
        <v>999999999</v>
      </c>
      <c r="AG145" s="25" t="n">
        <v>999999999</v>
      </c>
    </row>
    <row r="146" customFormat="false" ht="15" hidden="false" customHeight="false" outlineLevel="0" collapsed="false">
      <c r="A146" s="20" t="s">
        <v>233</v>
      </c>
      <c r="B146" s="20" t="s">
        <v>115</v>
      </c>
      <c r="C146" s="28" t="str">
        <f aca="false">A146&amp;"|"&amp;B146</f>
        <v>NH|MFJ</v>
      </c>
      <c r="D146" s="24" t="n">
        <v>0</v>
      </c>
      <c r="E146" s="25" t="n">
        <v>0</v>
      </c>
      <c r="F146" s="25" t="n">
        <f aca="false">H146</f>
        <v>999999999</v>
      </c>
      <c r="G146" s="24" t="n">
        <v>0</v>
      </c>
      <c r="H146" s="25" t="n">
        <v>999999999</v>
      </c>
      <c r="I146" s="25" t="n">
        <f aca="false">K146</f>
        <v>999999999</v>
      </c>
      <c r="J146" s="24" t="n">
        <v>0</v>
      </c>
      <c r="K146" s="25" t="n">
        <v>999999999</v>
      </c>
      <c r="L146" s="25" t="n">
        <f aca="false">N146</f>
        <v>999999999</v>
      </c>
      <c r="M146" s="24" t="n">
        <v>0</v>
      </c>
      <c r="N146" s="25" t="n">
        <v>999999999</v>
      </c>
      <c r="O146" s="25" t="n">
        <f aca="false">Q146</f>
        <v>999999999</v>
      </c>
      <c r="P146" s="24" t="n">
        <v>0</v>
      </c>
      <c r="Q146" s="25" t="n">
        <v>999999999</v>
      </c>
      <c r="R146" s="25" t="n">
        <f aca="false">T146</f>
        <v>999999999</v>
      </c>
      <c r="S146" s="24" t="n">
        <v>0</v>
      </c>
      <c r="T146" s="25" t="n">
        <v>999999999</v>
      </c>
      <c r="U146" s="25" t="n">
        <f aca="false">W146</f>
        <v>999999999</v>
      </c>
      <c r="V146" s="24" t="n">
        <v>0</v>
      </c>
      <c r="W146" s="25" t="n">
        <v>999999999</v>
      </c>
      <c r="X146" s="25" t="n">
        <f aca="false">Z146</f>
        <v>999999999</v>
      </c>
      <c r="Y146" s="24" t="n">
        <v>0</v>
      </c>
      <c r="Z146" s="25" t="n">
        <v>999999999</v>
      </c>
      <c r="AA146" s="25" t="n">
        <f aca="false">AC146</f>
        <v>999999999</v>
      </c>
      <c r="AB146" s="24" t="n">
        <v>0</v>
      </c>
      <c r="AC146" s="25" t="n">
        <v>999999999</v>
      </c>
      <c r="AD146" s="25" t="n">
        <f aca="false">AF146</f>
        <v>999999999</v>
      </c>
      <c r="AE146" s="24" t="n">
        <v>0</v>
      </c>
      <c r="AF146" s="25" t="n">
        <v>999999999</v>
      </c>
      <c r="AG146" s="25" t="n">
        <v>999999999</v>
      </c>
    </row>
    <row r="147" customFormat="false" ht="15" hidden="false" customHeight="false" outlineLevel="0" collapsed="false">
      <c r="A147" s="20" t="s">
        <v>235</v>
      </c>
      <c r="B147" s="20" t="s">
        <v>114</v>
      </c>
      <c r="C147" s="28" t="str">
        <f aca="false">A147&amp;"|"&amp;B147</f>
        <v>NJ|Single</v>
      </c>
      <c r="D147" s="24" t="n">
        <v>0.014</v>
      </c>
      <c r="E147" s="25" t="n">
        <v>0</v>
      </c>
      <c r="F147" s="25" t="n">
        <f aca="false">H147</f>
        <v>20000</v>
      </c>
      <c r="G147" s="24" t="n">
        <v>0.0175</v>
      </c>
      <c r="H147" s="25" t="n">
        <v>20000</v>
      </c>
      <c r="I147" s="25" t="n">
        <f aca="false">K147</f>
        <v>35000</v>
      </c>
      <c r="J147" s="24" t="n">
        <v>0.035</v>
      </c>
      <c r="K147" s="25" t="n">
        <v>35000</v>
      </c>
      <c r="L147" s="25" t="n">
        <f aca="false">N147</f>
        <v>40000</v>
      </c>
      <c r="M147" s="24" t="n">
        <v>0.05525</v>
      </c>
      <c r="N147" s="25" t="n">
        <v>40000</v>
      </c>
      <c r="O147" s="25" t="n">
        <f aca="false">Q147</f>
        <v>75000</v>
      </c>
      <c r="P147" s="24" t="n">
        <v>0.0637</v>
      </c>
      <c r="Q147" s="25" t="n">
        <v>75000</v>
      </c>
      <c r="R147" s="25" t="n">
        <f aca="false">T147</f>
        <v>500000</v>
      </c>
      <c r="S147" s="24" t="n">
        <v>0.0897</v>
      </c>
      <c r="T147" s="25" t="n">
        <v>500000</v>
      </c>
      <c r="U147" s="25" t="n">
        <f aca="false">W147</f>
        <v>1000000</v>
      </c>
      <c r="V147" s="24" t="n">
        <v>0.1075</v>
      </c>
      <c r="W147" s="25" t="n">
        <v>1000000</v>
      </c>
      <c r="X147" s="25" t="n">
        <f aca="false">Z147</f>
        <v>999999999</v>
      </c>
      <c r="Y147" s="24" t="n">
        <v>0</v>
      </c>
      <c r="Z147" s="25" t="n">
        <v>999999999</v>
      </c>
      <c r="AA147" s="25" t="n">
        <f aca="false">AC147</f>
        <v>999999999</v>
      </c>
      <c r="AB147" s="24" t="n">
        <v>0</v>
      </c>
      <c r="AC147" s="25" t="n">
        <v>999999999</v>
      </c>
      <c r="AD147" s="25" t="n">
        <f aca="false">AF147</f>
        <v>999999999</v>
      </c>
      <c r="AE147" s="24" t="n">
        <v>0</v>
      </c>
      <c r="AF147" s="25" t="n">
        <v>999999999</v>
      </c>
      <c r="AG147" s="25" t="n">
        <v>999999999</v>
      </c>
    </row>
    <row r="148" customFormat="false" ht="15" hidden="false" customHeight="false" outlineLevel="0" collapsed="false">
      <c r="A148" s="20" t="s">
        <v>235</v>
      </c>
      <c r="B148" s="20" t="s">
        <v>115</v>
      </c>
      <c r="C148" s="28" t="str">
        <f aca="false">A148&amp;"|"&amp;B148</f>
        <v>NJ|MFJ</v>
      </c>
      <c r="D148" s="24" t="n">
        <v>0.014</v>
      </c>
      <c r="E148" s="25" t="n">
        <v>0</v>
      </c>
      <c r="F148" s="25" t="n">
        <f aca="false">H148</f>
        <v>20000</v>
      </c>
      <c r="G148" s="24" t="n">
        <v>0.0175</v>
      </c>
      <c r="H148" s="25" t="n">
        <v>20000</v>
      </c>
      <c r="I148" s="25" t="n">
        <f aca="false">K148</f>
        <v>50000</v>
      </c>
      <c r="J148" s="24" t="n">
        <v>0.0245</v>
      </c>
      <c r="K148" s="25" t="n">
        <v>50000</v>
      </c>
      <c r="L148" s="25" t="n">
        <f aca="false">N148</f>
        <v>70000</v>
      </c>
      <c r="M148" s="24" t="n">
        <v>0.035</v>
      </c>
      <c r="N148" s="25" t="n">
        <v>70000</v>
      </c>
      <c r="O148" s="25" t="n">
        <f aca="false">Q148</f>
        <v>80000</v>
      </c>
      <c r="P148" s="24" t="n">
        <v>0.05525</v>
      </c>
      <c r="Q148" s="25" t="n">
        <v>80000</v>
      </c>
      <c r="R148" s="25" t="n">
        <f aca="false">T148</f>
        <v>150000</v>
      </c>
      <c r="S148" s="24" t="n">
        <v>0.0637</v>
      </c>
      <c r="T148" s="25" t="n">
        <v>150000</v>
      </c>
      <c r="U148" s="25" t="n">
        <f aca="false">W148</f>
        <v>500000</v>
      </c>
      <c r="V148" s="24" t="n">
        <v>0.0897</v>
      </c>
      <c r="W148" s="25" t="n">
        <v>500000</v>
      </c>
      <c r="X148" s="25" t="n">
        <f aca="false">Z148</f>
        <v>1000000</v>
      </c>
      <c r="Y148" s="24" t="n">
        <v>0.1075</v>
      </c>
      <c r="Z148" s="25" t="n">
        <v>1000000</v>
      </c>
      <c r="AA148" s="25" t="n">
        <f aca="false">AC148</f>
        <v>999999999</v>
      </c>
      <c r="AB148" s="24" t="n">
        <v>0</v>
      </c>
      <c r="AC148" s="25" t="n">
        <v>999999999</v>
      </c>
      <c r="AD148" s="25" t="n">
        <f aca="false">AF148</f>
        <v>999999999</v>
      </c>
      <c r="AE148" s="24" t="n">
        <v>0</v>
      </c>
      <c r="AF148" s="25" t="n">
        <v>999999999</v>
      </c>
      <c r="AG148" s="25" t="n">
        <v>999999999</v>
      </c>
    </row>
    <row r="149" customFormat="false" ht="15" hidden="false" customHeight="false" outlineLevel="0" collapsed="false">
      <c r="A149" s="20" t="s">
        <v>237</v>
      </c>
      <c r="B149" s="20" t="s">
        <v>114</v>
      </c>
      <c r="C149" s="28" t="str">
        <f aca="false">A149&amp;"|"&amp;B149</f>
        <v>NM|Single</v>
      </c>
      <c r="D149" s="24" t="n">
        <v>0.017</v>
      </c>
      <c r="E149" s="25" t="n">
        <v>0</v>
      </c>
      <c r="F149" s="25" t="n">
        <f aca="false">H149</f>
        <v>5500</v>
      </c>
      <c r="G149" s="24" t="n">
        <v>0.032</v>
      </c>
      <c r="H149" s="25" t="n">
        <v>5500</v>
      </c>
      <c r="I149" s="25" t="n">
        <f aca="false">K149</f>
        <v>11000</v>
      </c>
      <c r="J149" s="24" t="n">
        <v>0.047</v>
      </c>
      <c r="K149" s="25" t="n">
        <v>11000</v>
      </c>
      <c r="L149" s="25" t="n">
        <f aca="false">N149</f>
        <v>16000</v>
      </c>
      <c r="M149" s="24" t="n">
        <v>0.059</v>
      </c>
      <c r="N149" s="25" t="n">
        <v>16000</v>
      </c>
      <c r="O149" s="25" t="n">
        <f aca="false">Q149</f>
        <v>999999999</v>
      </c>
      <c r="P149" s="24" t="n">
        <v>0</v>
      </c>
      <c r="Q149" s="25" t="n">
        <v>999999999</v>
      </c>
      <c r="R149" s="25" t="n">
        <f aca="false">T149</f>
        <v>999999999</v>
      </c>
      <c r="S149" s="24" t="n">
        <v>0</v>
      </c>
      <c r="T149" s="25" t="n">
        <v>999999999</v>
      </c>
      <c r="U149" s="25" t="n">
        <f aca="false">W149</f>
        <v>999999999</v>
      </c>
      <c r="V149" s="24" t="n">
        <v>0</v>
      </c>
      <c r="W149" s="25" t="n">
        <v>999999999</v>
      </c>
      <c r="X149" s="25" t="n">
        <f aca="false">Z149</f>
        <v>999999999</v>
      </c>
      <c r="Y149" s="24" t="n">
        <v>0</v>
      </c>
      <c r="Z149" s="25" t="n">
        <v>999999999</v>
      </c>
      <c r="AA149" s="25" t="n">
        <f aca="false">AC149</f>
        <v>999999999</v>
      </c>
      <c r="AB149" s="24" t="n">
        <v>0</v>
      </c>
      <c r="AC149" s="25" t="n">
        <v>999999999</v>
      </c>
      <c r="AD149" s="25" t="n">
        <f aca="false">AF149</f>
        <v>999999999</v>
      </c>
      <c r="AE149" s="24" t="n">
        <v>0</v>
      </c>
      <c r="AF149" s="25" t="n">
        <v>999999999</v>
      </c>
      <c r="AG149" s="25" t="n">
        <v>999999999</v>
      </c>
    </row>
    <row r="150" customFormat="false" ht="15" hidden="false" customHeight="false" outlineLevel="0" collapsed="false">
      <c r="A150" s="20" t="s">
        <v>237</v>
      </c>
      <c r="B150" s="20" t="s">
        <v>115</v>
      </c>
      <c r="C150" s="28" t="str">
        <f aca="false">A150&amp;"|"&amp;B150</f>
        <v>NM|MFJ</v>
      </c>
      <c r="D150" s="24" t="n">
        <v>0.017</v>
      </c>
      <c r="E150" s="25" t="n">
        <v>0</v>
      </c>
      <c r="F150" s="25" t="n">
        <f aca="false">H150</f>
        <v>8000</v>
      </c>
      <c r="G150" s="24" t="n">
        <v>0.032</v>
      </c>
      <c r="H150" s="25" t="n">
        <v>8000</v>
      </c>
      <c r="I150" s="25" t="n">
        <f aca="false">K150</f>
        <v>16000</v>
      </c>
      <c r="J150" s="24" t="n">
        <v>0.047</v>
      </c>
      <c r="K150" s="25" t="n">
        <v>16000</v>
      </c>
      <c r="L150" s="25" t="n">
        <f aca="false">N150</f>
        <v>24000</v>
      </c>
      <c r="M150" s="24" t="n">
        <v>0.059</v>
      </c>
      <c r="N150" s="25" t="n">
        <v>24000</v>
      </c>
      <c r="O150" s="25" t="n">
        <f aca="false">Q150</f>
        <v>999999999</v>
      </c>
      <c r="P150" s="24" t="n">
        <v>0</v>
      </c>
      <c r="Q150" s="25" t="n">
        <v>999999999</v>
      </c>
      <c r="R150" s="25" t="n">
        <f aca="false">T150</f>
        <v>999999999</v>
      </c>
      <c r="S150" s="24" t="n">
        <v>0</v>
      </c>
      <c r="T150" s="25" t="n">
        <v>999999999</v>
      </c>
      <c r="U150" s="25" t="n">
        <f aca="false">W150</f>
        <v>999999999</v>
      </c>
      <c r="V150" s="24" t="n">
        <v>0</v>
      </c>
      <c r="W150" s="25" t="n">
        <v>999999999</v>
      </c>
      <c r="X150" s="25" t="n">
        <f aca="false">Z150</f>
        <v>999999999</v>
      </c>
      <c r="Y150" s="24" t="n">
        <v>0</v>
      </c>
      <c r="Z150" s="25" t="n">
        <v>999999999</v>
      </c>
      <c r="AA150" s="25" t="n">
        <f aca="false">AC150</f>
        <v>999999999</v>
      </c>
      <c r="AB150" s="24" t="n">
        <v>0</v>
      </c>
      <c r="AC150" s="25" t="n">
        <v>999999999</v>
      </c>
      <c r="AD150" s="25" t="n">
        <f aca="false">AF150</f>
        <v>999999999</v>
      </c>
      <c r="AE150" s="24" t="n">
        <v>0</v>
      </c>
      <c r="AF150" s="25" t="n">
        <v>999999999</v>
      </c>
      <c r="AG150" s="25" t="n">
        <v>999999999</v>
      </c>
    </row>
    <row r="151" customFormat="false" ht="15" hidden="false" customHeight="false" outlineLevel="0" collapsed="false">
      <c r="A151" s="20" t="s">
        <v>240</v>
      </c>
      <c r="B151" s="20" t="s">
        <v>114</v>
      </c>
      <c r="C151" s="28" t="str">
        <f aca="false">A151&amp;"|"&amp;B151</f>
        <v>NY|Single</v>
      </c>
      <c r="D151" s="24" t="n">
        <v>0.04</v>
      </c>
      <c r="E151" s="25" t="n">
        <v>0</v>
      </c>
      <c r="F151" s="25" t="n">
        <f aca="false">H151</f>
        <v>8500</v>
      </c>
      <c r="G151" s="24" t="n">
        <v>0.045</v>
      </c>
      <c r="H151" s="25" t="n">
        <v>8500</v>
      </c>
      <c r="I151" s="25" t="n">
        <f aca="false">K151</f>
        <v>11700</v>
      </c>
      <c r="J151" s="24" t="n">
        <v>0.0525</v>
      </c>
      <c r="K151" s="25" t="n">
        <v>11700</v>
      </c>
      <c r="L151" s="25" t="n">
        <f aca="false">N151</f>
        <v>13900</v>
      </c>
      <c r="M151" s="24" t="n">
        <v>0.055</v>
      </c>
      <c r="N151" s="25" t="n">
        <v>13900</v>
      </c>
      <c r="O151" s="25" t="n">
        <f aca="false">Q151</f>
        <v>80650</v>
      </c>
      <c r="P151" s="24" t="n">
        <v>0.06</v>
      </c>
      <c r="Q151" s="25" t="n">
        <v>80650</v>
      </c>
      <c r="R151" s="25" t="n">
        <f aca="false">T151</f>
        <v>215400</v>
      </c>
      <c r="S151" s="24" t="n">
        <v>0.0685</v>
      </c>
      <c r="T151" s="25" t="n">
        <v>215400</v>
      </c>
      <c r="U151" s="25" t="n">
        <f aca="false">W151</f>
        <v>1077550</v>
      </c>
      <c r="V151" s="24" t="n">
        <v>0.0965</v>
      </c>
      <c r="W151" s="25" t="n">
        <v>1077550</v>
      </c>
      <c r="X151" s="25" t="n">
        <f aca="false">Z151</f>
        <v>5000000</v>
      </c>
      <c r="Y151" s="24" t="n">
        <v>0.103</v>
      </c>
      <c r="Z151" s="25" t="n">
        <v>5000000</v>
      </c>
      <c r="AA151" s="25" t="n">
        <f aca="false">AC151</f>
        <v>25000000</v>
      </c>
      <c r="AB151" s="24" t="n">
        <v>0.109</v>
      </c>
      <c r="AC151" s="25" t="n">
        <v>25000000</v>
      </c>
      <c r="AD151" s="25" t="n">
        <f aca="false">AF151</f>
        <v>999999999</v>
      </c>
      <c r="AE151" s="24" t="n">
        <v>0</v>
      </c>
      <c r="AF151" s="25" t="n">
        <v>999999999</v>
      </c>
      <c r="AG151" s="25" t="n">
        <v>999999999</v>
      </c>
    </row>
    <row r="152" customFormat="false" ht="15" hidden="false" customHeight="false" outlineLevel="0" collapsed="false">
      <c r="A152" s="20" t="s">
        <v>240</v>
      </c>
      <c r="B152" s="20" t="s">
        <v>115</v>
      </c>
      <c r="C152" s="28" t="str">
        <f aca="false">A152&amp;"|"&amp;B152</f>
        <v>NY|MFJ</v>
      </c>
      <c r="D152" s="24" t="n">
        <v>0.04</v>
      </c>
      <c r="E152" s="25" t="n">
        <v>0</v>
      </c>
      <c r="F152" s="25" t="n">
        <f aca="false">H152</f>
        <v>17150</v>
      </c>
      <c r="G152" s="24" t="n">
        <v>0.045</v>
      </c>
      <c r="H152" s="25" t="n">
        <v>17150</v>
      </c>
      <c r="I152" s="25" t="n">
        <f aca="false">K152</f>
        <v>23600</v>
      </c>
      <c r="J152" s="24" t="n">
        <v>0.0525</v>
      </c>
      <c r="K152" s="25" t="n">
        <v>23600</v>
      </c>
      <c r="L152" s="25" t="n">
        <f aca="false">N152</f>
        <v>27900</v>
      </c>
      <c r="M152" s="24" t="n">
        <v>0.055</v>
      </c>
      <c r="N152" s="25" t="n">
        <v>27900</v>
      </c>
      <c r="O152" s="25" t="n">
        <f aca="false">Q152</f>
        <v>161550</v>
      </c>
      <c r="P152" s="24" t="n">
        <v>0.06</v>
      </c>
      <c r="Q152" s="25" t="n">
        <v>161550</v>
      </c>
      <c r="R152" s="25" t="n">
        <f aca="false">T152</f>
        <v>323200</v>
      </c>
      <c r="S152" s="24" t="n">
        <v>0.0685</v>
      </c>
      <c r="T152" s="25" t="n">
        <v>323200</v>
      </c>
      <c r="U152" s="25" t="n">
        <f aca="false">W152</f>
        <v>2155350</v>
      </c>
      <c r="V152" s="24" t="n">
        <v>0.0965</v>
      </c>
      <c r="W152" s="25" t="n">
        <v>2155350</v>
      </c>
      <c r="X152" s="25" t="n">
        <f aca="false">Z152</f>
        <v>5000000</v>
      </c>
      <c r="Y152" s="24" t="n">
        <v>0.103</v>
      </c>
      <c r="Z152" s="25" t="n">
        <v>5000000</v>
      </c>
      <c r="AA152" s="25" t="n">
        <f aca="false">AC152</f>
        <v>25000000</v>
      </c>
      <c r="AB152" s="24" t="n">
        <v>0.109</v>
      </c>
      <c r="AC152" s="25" t="n">
        <v>25000000</v>
      </c>
      <c r="AD152" s="25" t="n">
        <f aca="false">AF152</f>
        <v>999999999</v>
      </c>
      <c r="AE152" s="24" t="n">
        <v>0</v>
      </c>
      <c r="AF152" s="25" t="n">
        <v>999999999</v>
      </c>
      <c r="AG152" s="25" t="n">
        <v>999999999</v>
      </c>
    </row>
    <row r="153" customFormat="false" ht="15" hidden="false" customHeight="false" outlineLevel="0" collapsed="false">
      <c r="A153" s="20" t="s">
        <v>243</v>
      </c>
      <c r="B153" s="20" t="s">
        <v>114</v>
      </c>
      <c r="C153" s="28" t="str">
        <f aca="false">A153&amp;"|"&amp;B153</f>
        <v>NC|Single</v>
      </c>
      <c r="D153" s="24" t="n">
        <v>0.0425</v>
      </c>
      <c r="E153" s="25" t="n">
        <v>0</v>
      </c>
      <c r="F153" s="25" t="n">
        <f aca="false">H153</f>
        <v>999999999</v>
      </c>
      <c r="G153" s="24" t="n">
        <v>0</v>
      </c>
      <c r="H153" s="25" t="n">
        <v>999999999</v>
      </c>
      <c r="I153" s="25" t="n">
        <f aca="false">K153</f>
        <v>999999999</v>
      </c>
      <c r="J153" s="24" t="n">
        <v>0</v>
      </c>
      <c r="K153" s="25" t="n">
        <v>999999999</v>
      </c>
      <c r="L153" s="25" t="n">
        <f aca="false">N153</f>
        <v>999999999</v>
      </c>
      <c r="M153" s="24" t="n">
        <v>0</v>
      </c>
      <c r="N153" s="25" t="n">
        <v>999999999</v>
      </c>
      <c r="O153" s="25" t="n">
        <f aca="false">Q153</f>
        <v>999999999</v>
      </c>
      <c r="P153" s="24" t="n">
        <v>0</v>
      </c>
      <c r="Q153" s="25" t="n">
        <v>999999999</v>
      </c>
      <c r="R153" s="25" t="n">
        <f aca="false">T153</f>
        <v>999999999</v>
      </c>
      <c r="S153" s="24" t="n">
        <v>0</v>
      </c>
      <c r="T153" s="25" t="n">
        <v>999999999</v>
      </c>
      <c r="U153" s="25" t="n">
        <f aca="false">W153</f>
        <v>999999999</v>
      </c>
      <c r="V153" s="24" t="n">
        <v>0</v>
      </c>
      <c r="W153" s="25" t="n">
        <v>999999999</v>
      </c>
      <c r="X153" s="25" t="n">
        <f aca="false">Z153</f>
        <v>999999999</v>
      </c>
      <c r="Y153" s="24" t="n">
        <v>0</v>
      </c>
      <c r="Z153" s="25" t="n">
        <v>999999999</v>
      </c>
      <c r="AA153" s="25" t="n">
        <f aca="false">AC153</f>
        <v>999999999</v>
      </c>
      <c r="AB153" s="24" t="n">
        <v>0</v>
      </c>
      <c r="AC153" s="25" t="n">
        <v>999999999</v>
      </c>
      <c r="AD153" s="25" t="n">
        <f aca="false">AF153</f>
        <v>999999999</v>
      </c>
      <c r="AE153" s="24" t="n">
        <v>0</v>
      </c>
      <c r="AF153" s="25" t="n">
        <v>999999999</v>
      </c>
      <c r="AG153" s="25" t="n">
        <v>999999999</v>
      </c>
    </row>
    <row r="154" customFormat="false" ht="15" hidden="false" customHeight="false" outlineLevel="0" collapsed="false">
      <c r="A154" s="20" t="s">
        <v>243</v>
      </c>
      <c r="B154" s="20" t="s">
        <v>115</v>
      </c>
      <c r="C154" s="28" t="str">
        <f aca="false">A154&amp;"|"&amp;B154</f>
        <v>NC|MFJ</v>
      </c>
      <c r="D154" s="24" t="n">
        <v>0.0425</v>
      </c>
      <c r="E154" s="25" t="n">
        <v>0</v>
      </c>
      <c r="F154" s="25" t="n">
        <f aca="false">H154</f>
        <v>999999999</v>
      </c>
      <c r="G154" s="24" t="n">
        <v>0</v>
      </c>
      <c r="H154" s="25" t="n">
        <v>999999999</v>
      </c>
      <c r="I154" s="25" t="n">
        <f aca="false">K154</f>
        <v>999999999</v>
      </c>
      <c r="J154" s="24" t="n">
        <v>0</v>
      </c>
      <c r="K154" s="25" t="n">
        <v>999999999</v>
      </c>
      <c r="L154" s="25" t="n">
        <f aca="false">N154</f>
        <v>999999999</v>
      </c>
      <c r="M154" s="24" t="n">
        <v>0</v>
      </c>
      <c r="N154" s="25" t="n">
        <v>999999999</v>
      </c>
      <c r="O154" s="25" t="n">
        <f aca="false">Q154</f>
        <v>999999999</v>
      </c>
      <c r="P154" s="24" t="n">
        <v>0</v>
      </c>
      <c r="Q154" s="25" t="n">
        <v>999999999</v>
      </c>
      <c r="R154" s="25" t="n">
        <f aca="false">T154</f>
        <v>999999999</v>
      </c>
      <c r="S154" s="24" t="n">
        <v>0</v>
      </c>
      <c r="T154" s="25" t="n">
        <v>999999999</v>
      </c>
      <c r="U154" s="25" t="n">
        <f aca="false">W154</f>
        <v>999999999</v>
      </c>
      <c r="V154" s="24" t="n">
        <v>0</v>
      </c>
      <c r="W154" s="25" t="n">
        <v>999999999</v>
      </c>
      <c r="X154" s="25" t="n">
        <f aca="false">Z154</f>
        <v>999999999</v>
      </c>
      <c r="Y154" s="24" t="n">
        <v>0</v>
      </c>
      <c r="Z154" s="25" t="n">
        <v>999999999</v>
      </c>
      <c r="AA154" s="25" t="n">
        <f aca="false">AC154</f>
        <v>999999999</v>
      </c>
      <c r="AB154" s="24" t="n">
        <v>0</v>
      </c>
      <c r="AC154" s="25" t="n">
        <v>999999999</v>
      </c>
      <c r="AD154" s="25" t="n">
        <f aca="false">AF154</f>
        <v>999999999</v>
      </c>
      <c r="AE154" s="24" t="n">
        <v>0</v>
      </c>
      <c r="AF154" s="25" t="n">
        <v>999999999</v>
      </c>
      <c r="AG154" s="25" t="n">
        <v>999999999</v>
      </c>
    </row>
    <row r="155" customFormat="false" ht="15" hidden="false" customHeight="false" outlineLevel="0" collapsed="false">
      <c r="A155" s="20" t="s">
        <v>245</v>
      </c>
      <c r="B155" s="20" t="s">
        <v>114</v>
      </c>
      <c r="C155" s="28" t="str">
        <f aca="false">A155&amp;"|"&amp;B155</f>
        <v>ND|Single</v>
      </c>
      <c r="D155" s="24" t="n">
        <v>0</v>
      </c>
      <c r="E155" s="25" t="n">
        <v>0</v>
      </c>
      <c r="F155" s="25" t="n">
        <f aca="false">H155</f>
        <v>48475</v>
      </c>
      <c r="G155" s="24" t="n">
        <v>0.0195</v>
      </c>
      <c r="H155" s="25" t="n">
        <v>48475</v>
      </c>
      <c r="I155" s="25" t="n">
        <f aca="false">K155</f>
        <v>244825</v>
      </c>
      <c r="J155" s="24" t="n">
        <v>0.025</v>
      </c>
      <c r="K155" s="25" t="n">
        <v>244825</v>
      </c>
      <c r="L155" s="25" t="n">
        <f aca="false">N155</f>
        <v>999999999</v>
      </c>
      <c r="M155" s="24" t="n">
        <v>0</v>
      </c>
      <c r="N155" s="25" t="n">
        <v>999999999</v>
      </c>
      <c r="O155" s="25" t="n">
        <f aca="false">Q155</f>
        <v>999999999</v>
      </c>
      <c r="P155" s="24" t="n">
        <v>0</v>
      </c>
      <c r="Q155" s="25" t="n">
        <v>999999999</v>
      </c>
      <c r="R155" s="25" t="n">
        <f aca="false">T155</f>
        <v>999999999</v>
      </c>
      <c r="S155" s="24" t="n">
        <v>0</v>
      </c>
      <c r="T155" s="25" t="n">
        <v>999999999</v>
      </c>
      <c r="U155" s="25" t="n">
        <f aca="false">W155</f>
        <v>999999999</v>
      </c>
      <c r="V155" s="24" t="n">
        <v>0</v>
      </c>
      <c r="W155" s="25" t="n">
        <v>999999999</v>
      </c>
      <c r="X155" s="25" t="n">
        <f aca="false">Z155</f>
        <v>999999999</v>
      </c>
      <c r="Y155" s="24" t="n">
        <v>0</v>
      </c>
      <c r="Z155" s="25" t="n">
        <v>999999999</v>
      </c>
      <c r="AA155" s="25" t="n">
        <f aca="false">AC155</f>
        <v>999999999</v>
      </c>
      <c r="AB155" s="24" t="n">
        <v>0</v>
      </c>
      <c r="AC155" s="25" t="n">
        <v>999999999</v>
      </c>
      <c r="AD155" s="25" t="n">
        <f aca="false">AF155</f>
        <v>999999999</v>
      </c>
      <c r="AE155" s="24" t="n">
        <v>0</v>
      </c>
      <c r="AF155" s="25" t="n">
        <v>999999999</v>
      </c>
      <c r="AG155" s="25" t="n">
        <v>999999999</v>
      </c>
    </row>
    <row r="156" customFormat="false" ht="15" hidden="false" customHeight="false" outlineLevel="0" collapsed="false">
      <c r="A156" s="20" t="s">
        <v>245</v>
      </c>
      <c r="B156" s="20" t="s">
        <v>115</v>
      </c>
      <c r="C156" s="28" t="str">
        <f aca="false">A156&amp;"|"&amp;B156</f>
        <v>ND|MFJ</v>
      </c>
      <c r="D156" s="24" t="n">
        <v>0</v>
      </c>
      <c r="E156" s="25" t="n">
        <v>0</v>
      </c>
      <c r="F156" s="25" t="n">
        <f aca="false">H156</f>
        <v>96950</v>
      </c>
      <c r="G156" s="24" t="n">
        <v>0.0195</v>
      </c>
      <c r="H156" s="25" t="n">
        <v>96950</v>
      </c>
      <c r="I156" s="25" t="n">
        <f aca="false">K156</f>
        <v>298075</v>
      </c>
      <c r="J156" s="24" t="n">
        <v>0.025</v>
      </c>
      <c r="K156" s="25" t="n">
        <v>298075</v>
      </c>
      <c r="L156" s="25" t="n">
        <f aca="false">N156</f>
        <v>999999999</v>
      </c>
      <c r="M156" s="24" t="n">
        <v>0</v>
      </c>
      <c r="N156" s="25" t="n">
        <v>999999999</v>
      </c>
      <c r="O156" s="25" t="n">
        <f aca="false">Q156</f>
        <v>999999999</v>
      </c>
      <c r="P156" s="24" t="n">
        <v>0</v>
      </c>
      <c r="Q156" s="25" t="n">
        <v>999999999</v>
      </c>
      <c r="R156" s="25" t="n">
        <f aca="false">T156</f>
        <v>999999999</v>
      </c>
      <c r="S156" s="24" t="n">
        <v>0</v>
      </c>
      <c r="T156" s="25" t="n">
        <v>999999999</v>
      </c>
      <c r="U156" s="25" t="n">
        <f aca="false">W156</f>
        <v>999999999</v>
      </c>
      <c r="V156" s="24" t="n">
        <v>0</v>
      </c>
      <c r="W156" s="25" t="n">
        <v>999999999</v>
      </c>
      <c r="X156" s="25" t="n">
        <f aca="false">Z156</f>
        <v>999999999</v>
      </c>
      <c r="Y156" s="24" t="n">
        <v>0</v>
      </c>
      <c r="Z156" s="25" t="n">
        <v>999999999</v>
      </c>
      <c r="AA156" s="25" t="n">
        <f aca="false">AC156</f>
        <v>999999999</v>
      </c>
      <c r="AB156" s="24" t="n">
        <v>0</v>
      </c>
      <c r="AC156" s="25" t="n">
        <v>999999999</v>
      </c>
      <c r="AD156" s="25" t="n">
        <f aca="false">AF156</f>
        <v>999999999</v>
      </c>
      <c r="AE156" s="24" t="n">
        <v>0</v>
      </c>
      <c r="AF156" s="25" t="n">
        <v>999999999</v>
      </c>
      <c r="AG156" s="25" t="n">
        <v>999999999</v>
      </c>
    </row>
    <row r="157" customFormat="false" ht="15" hidden="false" customHeight="false" outlineLevel="0" collapsed="false">
      <c r="A157" s="20" t="s">
        <v>248</v>
      </c>
      <c r="B157" s="20" t="s">
        <v>114</v>
      </c>
      <c r="C157" s="28" t="str">
        <f aca="false">A157&amp;"|"&amp;B157</f>
        <v>OH|Single</v>
      </c>
      <c r="D157" s="24" t="n">
        <v>0</v>
      </c>
      <c r="E157" s="25" t="n">
        <v>0</v>
      </c>
      <c r="F157" s="25" t="n">
        <f aca="false">H157</f>
        <v>26050</v>
      </c>
      <c r="G157" s="24" t="n">
        <v>0.0275</v>
      </c>
      <c r="H157" s="25" t="n">
        <v>26050</v>
      </c>
      <c r="I157" s="25" t="n">
        <f aca="false">K157</f>
        <v>100000</v>
      </c>
      <c r="J157" s="24" t="n">
        <v>0.03125</v>
      </c>
      <c r="K157" s="25" t="n">
        <v>100000</v>
      </c>
      <c r="L157" s="25" t="n">
        <f aca="false">N157</f>
        <v>999999999</v>
      </c>
      <c r="M157" s="24" t="n">
        <v>0</v>
      </c>
      <c r="N157" s="25" t="n">
        <v>999999999</v>
      </c>
      <c r="O157" s="25" t="n">
        <f aca="false">Q157</f>
        <v>999999999</v>
      </c>
      <c r="P157" s="24" t="n">
        <v>0</v>
      </c>
      <c r="Q157" s="25" t="n">
        <v>999999999</v>
      </c>
      <c r="R157" s="25" t="n">
        <f aca="false">T157</f>
        <v>999999999</v>
      </c>
      <c r="S157" s="24" t="n">
        <v>0</v>
      </c>
      <c r="T157" s="25" t="n">
        <v>999999999</v>
      </c>
      <c r="U157" s="25" t="n">
        <f aca="false">W157</f>
        <v>999999999</v>
      </c>
      <c r="V157" s="24" t="n">
        <v>0</v>
      </c>
      <c r="W157" s="25" t="n">
        <v>999999999</v>
      </c>
      <c r="X157" s="25" t="n">
        <f aca="false">Z157</f>
        <v>999999999</v>
      </c>
      <c r="Y157" s="24" t="n">
        <v>0</v>
      </c>
      <c r="Z157" s="25" t="n">
        <v>999999999</v>
      </c>
      <c r="AA157" s="25" t="n">
        <f aca="false">AC157</f>
        <v>999999999</v>
      </c>
      <c r="AB157" s="24" t="n">
        <v>0</v>
      </c>
      <c r="AC157" s="25" t="n">
        <v>999999999</v>
      </c>
      <c r="AD157" s="25" t="n">
        <f aca="false">AF157</f>
        <v>999999999</v>
      </c>
      <c r="AE157" s="24" t="n">
        <v>0</v>
      </c>
      <c r="AF157" s="25" t="n">
        <v>999999999</v>
      </c>
      <c r="AG157" s="25" t="n">
        <v>999999999</v>
      </c>
    </row>
    <row r="158" customFormat="false" ht="15" hidden="false" customHeight="false" outlineLevel="0" collapsed="false">
      <c r="A158" s="20" t="s">
        <v>248</v>
      </c>
      <c r="B158" s="20" t="s">
        <v>115</v>
      </c>
      <c r="C158" s="28" t="str">
        <f aca="false">A158&amp;"|"&amp;B158</f>
        <v>OH|MFJ</v>
      </c>
      <c r="D158" s="24" t="n">
        <v>0</v>
      </c>
      <c r="E158" s="25" t="n">
        <v>0</v>
      </c>
      <c r="F158" s="25" t="n">
        <f aca="false">H158</f>
        <v>26050</v>
      </c>
      <c r="G158" s="24" t="n">
        <v>0.0275</v>
      </c>
      <c r="H158" s="25" t="n">
        <v>26050</v>
      </c>
      <c r="I158" s="25" t="n">
        <f aca="false">K158</f>
        <v>100000</v>
      </c>
      <c r="J158" s="24" t="n">
        <v>0.03125</v>
      </c>
      <c r="K158" s="25" t="n">
        <v>100000</v>
      </c>
      <c r="L158" s="25" t="n">
        <f aca="false">N158</f>
        <v>999999999</v>
      </c>
      <c r="M158" s="24" t="n">
        <v>0</v>
      </c>
      <c r="N158" s="25" t="n">
        <v>999999999</v>
      </c>
      <c r="O158" s="25" t="n">
        <f aca="false">Q158</f>
        <v>999999999</v>
      </c>
      <c r="P158" s="24" t="n">
        <v>0</v>
      </c>
      <c r="Q158" s="25" t="n">
        <v>999999999</v>
      </c>
      <c r="R158" s="25" t="n">
        <f aca="false">T158</f>
        <v>999999999</v>
      </c>
      <c r="S158" s="24" t="n">
        <v>0</v>
      </c>
      <c r="T158" s="25" t="n">
        <v>999999999</v>
      </c>
      <c r="U158" s="25" t="n">
        <f aca="false">W158</f>
        <v>999999999</v>
      </c>
      <c r="V158" s="24" t="n">
        <v>0</v>
      </c>
      <c r="W158" s="25" t="n">
        <v>999999999</v>
      </c>
      <c r="X158" s="25" t="n">
        <f aca="false">Z158</f>
        <v>999999999</v>
      </c>
      <c r="Y158" s="24" t="n">
        <v>0</v>
      </c>
      <c r="Z158" s="25" t="n">
        <v>999999999</v>
      </c>
      <c r="AA158" s="25" t="n">
        <f aca="false">AC158</f>
        <v>999999999</v>
      </c>
      <c r="AB158" s="24" t="n">
        <v>0</v>
      </c>
      <c r="AC158" s="25" t="n">
        <v>999999999</v>
      </c>
      <c r="AD158" s="25" t="n">
        <f aca="false">AF158</f>
        <v>999999999</v>
      </c>
      <c r="AE158" s="24" t="n">
        <v>0</v>
      </c>
      <c r="AF158" s="25" t="n">
        <v>999999999</v>
      </c>
      <c r="AG158" s="25" t="n">
        <v>999999999</v>
      </c>
    </row>
    <row r="159" customFormat="false" ht="15" hidden="false" customHeight="false" outlineLevel="0" collapsed="false">
      <c r="A159" s="20" t="s">
        <v>251</v>
      </c>
      <c r="B159" s="20" t="s">
        <v>114</v>
      </c>
      <c r="C159" s="28" t="str">
        <f aca="false">A159&amp;"|"&amp;B159</f>
        <v>OK|Single</v>
      </c>
      <c r="D159" s="24" t="n">
        <v>0.0025</v>
      </c>
      <c r="E159" s="25" t="n">
        <v>0</v>
      </c>
      <c r="F159" s="25" t="n">
        <f aca="false">H159</f>
        <v>1000</v>
      </c>
      <c r="G159" s="24" t="n">
        <v>0.0075</v>
      </c>
      <c r="H159" s="25" t="n">
        <v>1000</v>
      </c>
      <c r="I159" s="25" t="n">
        <f aca="false">K159</f>
        <v>2500</v>
      </c>
      <c r="J159" s="24" t="n">
        <v>0.0175</v>
      </c>
      <c r="K159" s="25" t="n">
        <v>2500</v>
      </c>
      <c r="L159" s="25" t="n">
        <f aca="false">N159</f>
        <v>3750</v>
      </c>
      <c r="M159" s="24" t="n">
        <v>0.0275</v>
      </c>
      <c r="N159" s="25" t="n">
        <v>3750</v>
      </c>
      <c r="O159" s="25" t="n">
        <f aca="false">Q159</f>
        <v>4900</v>
      </c>
      <c r="P159" s="24" t="n">
        <v>0.0375</v>
      </c>
      <c r="Q159" s="25" t="n">
        <v>4900</v>
      </c>
      <c r="R159" s="25" t="n">
        <f aca="false">T159</f>
        <v>7200</v>
      </c>
      <c r="S159" s="24" t="n">
        <v>0.0475</v>
      </c>
      <c r="T159" s="25" t="n">
        <v>7200</v>
      </c>
      <c r="U159" s="25" t="n">
        <f aca="false">W159</f>
        <v>999999999</v>
      </c>
      <c r="V159" s="24" t="n">
        <v>0</v>
      </c>
      <c r="W159" s="25" t="n">
        <v>999999999</v>
      </c>
      <c r="X159" s="25" t="n">
        <f aca="false">Z159</f>
        <v>999999999</v>
      </c>
      <c r="Y159" s="24" t="n">
        <v>0</v>
      </c>
      <c r="Z159" s="25" t="n">
        <v>999999999</v>
      </c>
      <c r="AA159" s="25" t="n">
        <f aca="false">AC159</f>
        <v>999999999</v>
      </c>
      <c r="AB159" s="24" t="n">
        <v>0</v>
      </c>
      <c r="AC159" s="25" t="n">
        <v>999999999</v>
      </c>
      <c r="AD159" s="25" t="n">
        <f aca="false">AF159</f>
        <v>999999999</v>
      </c>
      <c r="AE159" s="24" t="n">
        <v>0</v>
      </c>
      <c r="AF159" s="25" t="n">
        <v>999999999</v>
      </c>
      <c r="AG159" s="25" t="n">
        <v>999999999</v>
      </c>
    </row>
    <row r="160" customFormat="false" ht="15" hidden="false" customHeight="false" outlineLevel="0" collapsed="false">
      <c r="A160" s="20" t="s">
        <v>251</v>
      </c>
      <c r="B160" s="20" t="s">
        <v>115</v>
      </c>
      <c r="C160" s="28" t="str">
        <f aca="false">A160&amp;"|"&amp;B160</f>
        <v>OK|MFJ</v>
      </c>
      <c r="D160" s="24" t="n">
        <v>0.0025</v>
      </c>
      <c r="E160" s="25" t="n">
        <v>0</v>
      </c>
      <c r="F160" s="25" t="n">
        <f aca="false">H160</f>
        <v>2000</v>
      </c>
      <c r="G160" s="24" t="n">
        <v>0.0075</v>
      </c>
      <c r="H160" s="25" t="n">
        <v>2000</v>
      </c>
      <c r="I160" s="25" t="n">
        <f aca="false">K160</f>
        <v>5000</v>
      </c>
      <c r="J160" s="24" t="n">
        <v>0.0175</v>
      </c>
      <c r="K160" s="25" t="n">
        <v>5000</v>
      </c>
      <c r="L160" s="25" t="n">
        <f aca="false">N160</f>
        <v>7500</v>
      </c>
      <c r="M160" s="24" t="n">
        <v>0.0275</v>
      </c>
      <c r="N160" s="25" t="n">
        <v>7500</v>
      </c>
      <c r="O160" s="25" t="n">
        <f aca="false">Q160</f>
        <v>9800</v>
      </c>
      <c r="P160" s="24" t="n">
        <v>0.0375</v>
      </c>
      <c r="Q160" s="25" t="n">
        <v>9800</v>
      </c>
      <c r="R160" s="25" t="n">
        <f aca="false">T160</f>
        <v>14400</v>
      </c>
      <c r="S160" s="24" t="n">
        <v>0.0475</v>
      </c>
      <c r="T160" s="25" t="n">
        <v>14400</v>
      </c>
      <c r="U160" s="25" t="n">
        <f aca="false">W160</f>
        <v>999999999</v>
      </c>
      <c r="V160" s="24" t="n">
        <v>0</v>
      </c>
      <c r="W160" s="25" t="n">
        <v>999999999</v>
      </c>
      <c r="X160" s="25" t="n">
        <f aca="false">Z160</f>
        <v>999999999</v>
      </c>
      <c r="Y160" s="24" t="n">
        <v>0</v>
      </c>
      <c r="Z160" s="25" t="n">
        <v>999999999</v>
      </c>
      <c r="AA160" s="25" t="n">
        <f aca="false">AC160</f>
        <v>999999999</v>
      </c>
      <c r="AB160" s="24" t="n">
        <v>0</v>
      </c>
      <c r="AC160" s="25" t="n">
        <v>999999999</v>
      </c>
      <c r="AD160" s="25" t="n">
        <f aca="false">AF160</f>
        <v>999999999</v>
      </c>
      <c r="AE160" s="24" t="n">
        <v>0</v>
      </c>
      <c r="AF160" s="25" t="n">
        <v>999999999</v>
      </c>
      <c r="AG160" s="25" t="n">
        <v>999999999</v>
      </c>
    </row>
    <row r="161" customFormat="false" ht="15" hidden="false" customHeight="false" outlineLevel="0" collapsed="false">
      <c r="A161" s="20" t="s">
        <v>253</v>
      </c>
      <c r="B161" s="20" t="s">
        <v>114</v>
      </c>
      <c r="C161" s="28" t="str">
        <f aca="false">A161&amp;"|"&amp;B161</f>
        <v>OR|Single</v>
      </c>
      <c r="D161" s="24" t="n">
        <v>0.0475</v>
      </c>
      <c r="E161" s="25" t="n">
        <v>0</v>
      </c>
      <c r="F161" s="25" t="n">
        <f aca="false">H161</f>
        <v>4400</v>
      </c>
      <c r="G161" s="24" t="n">
        <v>0.0675</v>
      </c>
      <c r="H161" s="25" t="n">
        <v>4400</v>
      </c>
      <c r="I161" s="25" t="n">
        <f aca="false">K161</f>
        <v>11050</v>
      </c>
      <c r="J161" s="24" t="n">
        <v>0.0875</v>
      </c>
      <c r="K161" s="25" t="n">
        <v>11050</v>
      </c>
      <c r="L161" s="25" t="n">
        <f aca="false">N161</f>
        <v>125000</v>
      </c>
      <c r="M161" s="24" t="n">
        <v>0.099</v>
      </c>
      <c r="N161" s="25" t="n">
        <v>125000</v>
      </c>
      <c r="O161" s="25" t="n">
        <f aca="false">Q161</f>
        <v>999999999</v>
      </c>
      <c r="P161" s="24" t="n">
        <v>0</v>
      </c>
      <c r="Q161" s="25" t="n">
        <v>999999999</v>
      </c>
      <c r="R161" s="25" t="n">
        <f aca="false">T161</f>
        <v>999999999</v>
      </c>
      <c r="S161" s="24" t="n">
        <v>0</v>
      </c>
      <c r="T161" s="25" t="n">
        <v>999999999</v>
      </c>
      <c r="U161" s="25" t="n">
        <f aca="false">W161</f>
        <v>999999999</v>
      </c>
      <c r="V161" s="24" t="n">
        <v>0</v>
      </c>
      <c r="W161" s="25" t="n">
        <v>999999999</v>
      </c>
      <c r="X161" s="25" t="n">
        <f aca="false">Z161</f>
        <v>999999999</v>
      </c>
      <c r="Y161" s="24" t="n">
        <v>0</v>
      </c>
      <c r="Z161" s="25" t="n">
        <v>999999999</v>
      </c>
      <c r="AA161" s="25" t="n">
        <f aca="false">AC161</f>
        <v>999999999</v>
      </c>
      <c r="AB161" s="24" t="n">
        <v>0</v>
      </c>
      <c r="AC161" s="25" t="n">
        <v>999999999</v>
      </c>
      <c r="AD161" s="25" t="n">
        <f aca="false">AF161</f>
        <v>999999999</v>
      </c>
      <c r="AE161" s="24" t="n">
        <v>0</v>
      </c>
      <c r="AF161" s="25" t="n">
        <v>999999999</v>
      </c>
      <c r="AG161" s="25" t="n">
        <v>999999999</v>
      </c>
    </row>
    <row r="162" customFormat="false" ht="15" hidden="false" customHeight="false" outlineLevel="0" collapsed="false">
      <c r="A162" s="20" t="s">
        <v>253</v>
      </c>
      <c r="B162" s="20" t="s">
        <v>115</v>
      </c>
      <c r="C162" s="28" t="str">
        <f aca="false">A162&amp;"|"&amp;B162</f>
        <v>OR|MFJ</v>
      </c>
      <c r="D162" s="24" t="n">
        <v>0.0475</v>
      </c>
      <c r="E162" s="25" t="n">
        <v>0</v>
      </c>
      <c r="F162" s="25" t="n">
        <f aca="false">H162</f>
        <v>8800</v>
      </c>
      <c r="G162" s="24" t="n">
        <v>0.0675</v>
      </c>
      <c r="H162" s="25" t="n">
        <v>8800</v>
      </c>
      <c r="I162" s="25" t="n">
        <f aca="false">K162</f>
        <v>22100</v>
      </c>
      <c r="J162" s="24" t="n">
        <v>0.0875</v>
      </c>
      <c r="K162" s="25" t="n">
        <v>22100</v>
      </c>
      <c r="L162" s="25" t="n">
        <f aca="false">N162</f>
        <v>250000</v>
      </c>
      <c r="M162" s="24" t="n">
        <v>0.099</v>
      </c>
      <c r="N162" s="25" t="n">
        <v>250000</v>
      </c>
      <c r="O162" s="25" t="n">
        <f aca="false">Q162</f>
        <v>999999999</v>
      </c>
      <c r="P162" s="24" t="n">
        <v>0</v>
      </c>
      <c r="Q162" s="25" t="n">
        <v>999999999</v>
      </c>
      <c r="R162" s="25" t="n">
        <f aca="false">T162</f>
        <v>999999999</v>
      </c>
      <c r="S162" s="24" t="n">
        <v>0</v>
      </c>
      <c r="T162" s="25" t="n">
        <v>999999999</v>
      </c>
      <c r="U162" s="25" t="n">
        <f aca="false">W162</f>
        <v>999999999</v>
      </c>
      <c r="V162" s="24" t="n">
        <v>0</v>
      </c>
      <c r="W162" s="25" t="n">
        <v>999999999</v>
      </c>
      <c r="X162" s="25" t="n">
        <f aca="false">Z162</f>
        <v>999999999</v>
      </c>
      <c r="Y162" s="24" t="n">
        <v>0</v>
      </c>
      <c r="Z162" s="25" t="n">
        <v>999999999</v>
      </c>
      <c r="AA162" s="25" t="n">
        <f aca="false">AC162</f>
        <v>999999999</v>
      </c>
      <c r="AB162" s="24" t="n">
        <v>0</v>
      </c>
      <c r="AC162" s="25" t="n">
        <v>999999999</v>
      </c>
      <c r="AD162" s="25" t="n">
        <f aca="false">AF162</f>
        <v>999999999</v>
      </c>
      <c r="AE162" s="24" t="n">
        <v>0</v>
      </c>
      <c r="AF162" s="25" t="n">
        <v>999999999</v>
      </c>
      <c r="AG162" s="25" t="n">
        <v>999999999</v>
      </c>
    </row>
    <row r="163" customFormat="false" ht="15" hidden="false" customHeight="false" outlineLevel="0" collapsed="false">
      <c r="A163" s="20" t="s">
        <v>255</v>
      </c>
      <c r="B163" s="20" t="s">
        <v>114</v>
      </c>
      <c r="C163" s="28" t="str">
        <f aca="false">A163&amp;"|"&amp;B163</f>
        <v>PA|Single</v>
      </c>
      <c r="D163" s="24" t="n">
        <v>0.0307</v>
      </c>
      <c r="E163" s="25" t="n">
        <v>0</v>
      </c>
      <c r="F163" s="25" t="n">
        <f aca="false">H163</f>
        <v>999999999</v>
      </c>
      <c r="G163" s="24" t="n">
        <v>0</v>
      </c>
      <c r="H163" s="25" t="n">
        <v>999999999</v>
      </c>
      <c r="I163" s="25" t="n">
        <f aca="false">K163</f>
        <v>999999999</v>
      </c>
      <c r="J163" s="24" t="n">
        <v>0</v>
      </c>
      <c r="K163" s="25" t="n">
        <v>999999999</v>
      </c>
      <c r="L163" s="25" t="n">
        <f aca="false">N163</f>
        <v>999999999</v>
      </c>
      <c r="M163" s="24" t="n">
        <v>0</v>
      </c>
      <c r="N163" s="25" t="n">
        <v>999999999</v>
      </c>
      <c r="O163" s="25" t="n">
        <f aca="false">Q163</f>
        <v>999999999</v>
      </c>
      <c r="P163" s="24" t="n">
        <v>0</v>
      </c>
      <c r="Q163" s="25" t="n">
        <v>999999999</v>
      </c>
      <c r="R163" s="25" t="n">
        <f aca="false">T163</f>
        <v>999999999</v>
      </c>
      <c r="S163" s="24" t="n">
        <v>0</v>
      </c>
      <c r="T163" s="25" t="n">
        <v>999999999</v>
      </c>
      <c r="U163" s="25" t="n">
        <f aca="false">W163</f>
        <v>999999999</v>
      </c>
      <c r="V163" s="24" t="n">
        <v>0</v>
      </c>
      <c r="W163" s="25" t="n">
        <v>999999999</v>
      </c>
      <c r="X163" s="25" t="n">
        <f aca="false">Z163</f>
        <v>999999999</v>
      </c>
      <c r="Y163" s="24" t="n">
        <v>0</v>
      </c>
      <c r="Z163" s="25" t="n">
        <v>999999999</v>
      </c>
      <c r="AA163" s="25" t="n">
        <f aca="false">AC163</f>
        <v>999999999</v>
      </c>
      <c r="AB163" s="24" t="n">
        <v>0</v>
      </c>
      <c r="AC163" s="25" t="n">
        <v>999999999</v>
      </c>
      <c r="AD163" s="25" t="n">
        <f aca="false">AF163</f>
        <v>999999999</v>
      </c>
      <c r="AE163" s="24" t="n">
        <v>0</v>
      </c>
      <c r="AF163" s="25" t="n">
        <v>999999999</v>
      </c>
      <c r="AG163" s="25" t="n">
        <v>999999999</v>
      </c>
    </row>
    <row r="164" customFormat="false" ht="15" hidden="false" customHeight="false" outlineLevel="0" collapsed="false">
      <c r="A164" s="20" t="s">
        <v>255</v>
      </c>
      <c r="B164" s="20" t="s">
        <v>115</v>
      </c>
      <c r="C164" s="28" t="str">
        <f aca="false">A164&amp;"|"&amp;B164</f>
        <v>PA|MFJ</v>
      </c>
      <c r="D164" s="24" t="n">
        <v>0.0307</v>
      </c>
      <c r="E164" s="25" t="n">
        <v>0</v>
      </c>
      <c r="F164" s="25" t="n">
        <f aca="false">H164</f>
        <v>999999999</v>
      </c>
      <c r="G164" s="24" t="n">
        <v>0</v>
      </c>
      <c r="H164" s="25" t="n">
        <v>999999999</v>
      </c>
      <c r="I164" s="25" t="n">
        <f aca="false">K164</f>
        <v>999999999</v>
      </c>
      <c r="J164" s="24" t="n">
        <v>0</v>
      </c>
      <c r="K164" s="25" t="n">
        <v>999999999</v>
      </c>
      <c r="L164" s="25" t="n">
        <f aca="false">N164</f>
        <v>999999999</v>
      </c>
      <c r="M164" s="24" t="n">
        <v>0</v>
      </c>
      <c r="N164" s="25" t="n">
        <v>999999999</v>
      </c>
      <c r="O164" s="25" t="n">
        <f aca="false">Q164</f>
        <v>999999999</v>
      </c>
      <c r="P164" s="24" t="n">
        <v>0</v>
      </c>
      <c r="Q164" s="25" t="n">
        <v>999999999</v>
      </c>
      <c r="R164" s="25" t="n">
        <f aca="false">T164</f>
        <v>999999999</v>
      </c>
      <c r="S164" s="24" t="n">
        <v>0</v>
      </c>
      <c r="T164" s="25" t="n">
        <v>999999999</v>
      </c>
      <c r="U164" s="25" t="n">
        <f aca="false">W164</f>
        <v>999999999</v>
      </c>
      <c r="V164" s="24" t="n">
        <v>0</v>
      </c>
      <c r="W164" s="25" t="n">
        <v>999999999</v>
      </c>
      <c r="X164" s="25" t="n">
        <f aca="false">Z164</f>
        <v>999999999</v>
      </c>
      <c r="Y164" s="24" t="n">
        <v>0</v>
      </c>
      <c r="Z164" s="25" t="n">
        <v>999999999</v>
      </c>
      <c r="AA164" s="25" t="n">
        <f aca="false">AC164</f>
        <v>999999999</v>
      </c>
      <c r="AB164" s="24" t="n">
        <v>0</v>
      </c>
      <c r="AC164" s="25" t="n">
        <v>999999999</v>
      </c>
      <c r="AD164" s="25" t="n">
        <f aca="false">AF164</f>
        <v>999999999</v>
      </c>
      <c r="AE164" s="24" t="n">
        <v>0</v>
      </c>
      <c r="AF164" s="25" t="n">
        <v>999999999</v>
      </c>
      <c r="AG164" s="25" t="n">
        <v>999999999</v>
      </c>
    </row>
    <row r="165" customFormat="false" ht="15" hidden="false" customHeight="false" outlineLevel="0" collapsed="false">
      <c r="A165" s="20" t="s">
        <v>259</v>
      </c>
      <c r="B165" s="20" t="s">
        <v>114</v>
      </c>
      <c r="C165" s="28" t="str">
        <f aca="false">A165&amp;"|"&amp;B165</f>
        <v>RI|Single</v>
      </c>
      <c r="D165" s="24" t="n">
        <v>0.0375</v>
      </c>
      <c r="E165" s="25" t="n">
        <v>0</v>
      </c>
      <c r="F165" s="25" t="n">
        <f aca="false">H165</f>
        <v>73450</v>
      </c>
      <c r="G165" s="24" t="n">
        <v>0.0475</v>
      </c>
      <c r="H165" s="25" t="n">
        <v>73450</v>
      </c>
      <c r="I165" s="25" t="n">
        <f aca="false">K165</f>
        <v>166950</v>
      </c>
      <c r="J165" s="24" t="n">
        <v>0.0599</v>
      </c>
      <c r="K165" s="25" t="n">
        <v>166950</v>
      </c>
      <c r="L165" s="25" t="n">
        <f aca="false">N165</f>
        <v>999999999</v>
      </c>
      <c r="M165" s="24" t="n">
        <v>0</v>
      </c>
      <c r="N165" s="25" t="n">
        <v>999999999</v>
      </c>
      <c r="O165" s="25" t="n">
        <f aca="false">Q165</f>
        <v>999999999</v>
      </c>
      <c r="P165" s="24" t="n">
        <v>0</v>
      </c>
      <c r="Q165" s="25" t="n">
        <v>999999999</v>
      </c>
      <c r="R165" s="25" t="n">
        <f aca="false">T165</f>
        <v>999999999</v>
      </c>
      <c r="S165" s="24" t="n">
        <v>0</v>
      </c>
      <c r="T165" s="25" t="n">
        <v>999999999</v>
      </c>
      <c r="U165" s="25" t="n">
        <f aca="false">W165</f>
        <v>999999999</v>
      </c>
      <c r="V165" s="24" t="n">
        <v>0</v>
      </c>
      <c r="W165" s="25" t="n">
        <v>999999999</v>
      </c>
      <c r="X165" s="25" t="n">
        <f aca="false">Z165</f>
        <v>999999999</v>
      </c>
      <c r="Y165" s="24" t="n">
        <v>0</v>
      </c>
      <c r="Z165" s="25" t="n">
        <v>999999999</v>
      </c>
      <c r="AA165" s="25" t="n">
        <f aca="false">AC165</f>
        <v>999999999</v>
      </c>
      <c r="AB165" s="24" t="n">
        <v>0</v>
      </c>
      <c r="AC165" s="25" t="n">
        <v>999999999</v>
      </c>
      <c r="AD165" s="25" t="n">
        <f aca="false">AF165</f>
        <v>999999999</v>
      </c>
      <c r="AE165" s="24" t="n">
        <v>0</v>
      </c>
      <c r="AF165" s="25" t="n">
        <v>999999999</v>
      </c>
      <c r="AG165" s="25" t="n">
        <v>999999999</v>
      </c>
    </row>
    <row r="166" customFormat="false" ht="15" hidden="false" customHeight="false" outlineLevel="0" collapsed="false">
      <c r="A166" s="20" t="s">
        <v>259</v>
      </c>
      <c r="B166" s="20" t="s">
        <v>115</v>
      </c>
      <c r="C166" s="28" t="str">
        <f aca="false">A166&amp;"|"&amp;B166</f>
        <v>RI|MFJ</v>
      </c>
      <c r="D166" s="24" t="n">
        <v>0.0375</v>
      </c>
      <c r="E166" s="25" t="n">
        <v>0</v>
      </c>
      <c r="F166" s="25" t="n">
        <f aca="false">H166</f>
        <v>73450</v>
      </c>
      <c r="G166" s="24" t="n">
        <v>0.0475</v>
      </c>
      <c r="H166" s="25" t="n">
        <v>73450</v>
      </c>
      <c r="I166" s="25" t="n">
        <f aca="false">K166</f>
        <v>166950</v>
      </c>
      <c r="J166" s="24" t="n">
        <v>0.0599</v>
      </c>
      <c r="K166" s="25" t="n">
        <v>166950</v>
      </c>
      <c r="L166" s="25" t="n">
        <f aca="false">N166</f>
        <v>999999999</v>
      </c>
      <c r="M166" s="24" t="n">
        <v>0</v>
      </c>
      <c r="N166" s="25" t="n">
        <v>999999999</v>
      </c>
      <c r="O166" s="25" t="n">
        <f aca="false">Q166</f>
        <v>999999999</v>
      </c>
      <c r="P166" s="24" t="n">
        <v>0</v>
      </c>
      <c r="Q166" s="25" t="n">
        <v>999999999</v>
      </c>
      <c r="R166" s="25" t="n">
        <f aca="false">T166</f>
        <v>999999999</v>
      </c>
      <c r="S166" s="24" t="n">
        <v>0</v>
      </c>
      <c r="T166" s="25" t="n">
        <v>999999999</v>
      </c>
      <c r="U166" s="25" t="n">
        <f aca="false">W166</f>
        <v>999999999</v>
      </c>
      <c r="V166" s="24" t="n">
        <v>0</v>
      </c>
      <c r="W166" s="25" t="n">
        <v>999999999</v>
      </c>
      <c r="X166" s="25" t="n">
        <f aca="false">Z166</f>
        <v>999999999</v>
      </c>
      <c r="Y166" s="24" t="n">
        <v>0</v>
      </c>
      <c r="Z166" s="25" t="n">
        <v>999999999</v>
      </c>
      <c r="AA166" s="25" t="n">
        <f aca="false">AC166</f>
        <v>999999999</v>
      </c>
      <c r="AB166" s="24" t="n">
        <v>0</v>
      </c>
      <c r="AC166" s="25" t="n">
        <v>999999999</v>
      </c>
      <c r="AD166" s="25" t="n">
        <f aca="false">AF166</f>
        <v>999999999</v>
      </c>
      <c r="AE166" s="24" t="n">
        <v>0</v>
      </c>
      <c r="AF166" s="25" t="n">
        <v>999999999</v>
      </c>
      <c r="AG166" s="25" t="n">
        <v>999999999</v>
      </c>
    </row>
    <row r="167" customFormat="false" ht="15" hidden="false" customHeight="false" outlineLevel="0" collapsed="false">
      <c r="A167" s="20" t="s">
        <v>261</v>
      </c>
      <c r="B167" s="20" t="s">
        <v>114</v>
      </c>
      <c r="C167" s="28" t="str">
        <f aca="false">A167&amp;"|"&amp;B167</f>
        <v>SC|Single</v>
      </c>
      <c r="D167" s="24" t="n">
        <v>0</v>
      </c>
      <c r="E167" s="25" t="n">
        <v>0</v>
      </c>
      <c r="F167" s="25" t="n">
        <f aca="false">H167</f>
        <v>3350</v>
      </c>
      <c r="G167" s="24" t="n">
        <v>0.03</v>
      </c>
      <c r="H167" s="25" t="n">
        <v>3350</v>
      </c>
      <c r="I167" s="25" t="n">
        <f aca="false">K167</f>
        <v>16680</v>
      </c>
      <c r="J167" s="24" t="n">
        <v>0.06</v>
      </c>
      <c r="K167" s="25" t="n">
        <v>16680</v>
      </c>
      <c r="L167" s="25" t="n">
        <f aca="false">N167</f>
        <v>999999999</v>
      </c>
      <c r="M167" s="24" t="n">
        <v>0</v>
      </c>
      <c r="N167" s="25" t="n">
        <v>999999999</v>
      </c>
      <c r="O167" s="25" t="n">
        <f aca="false">Q167</f>
        <v>999999999</v>
      </c>
      <c r="P167" s="24" t="n">
        <v>0</v>
      </c>
      <c r="Q167" s="25" t="n">
        <v>999999999</v>
      </c>
      <c r="R167" s="25" t="n">
        <f aca="false">T167</f>
        <v>999999999</v>
      </c>
      <c r="S167" s="24" t="n">
        <v>0</v>
      </c>
      <c r="T167" s="25" t="n">
        <v>999999999</v>
      </c>
      <c r="U167" s="25" t="n">
        <f aca="false">W167</f>
        <v>999999999</v>
      </c>
      <c r="V167" s="24" t="n">
        <v>0</v>
      </c>
      <c r="W167" s="25" t="n">
        <v>999999999</v>
      </c>
      <c r="X167" s="25" t="n">
        <f aca="false">Z167</f>
        <v>999999999</v>
      </c>
      <c r="Y167" s="24" t="n">
        <v>0</v>
      </c>
      <c r="Z167" s="25" t="n">
        <v>999999999</v>
      </c>
      <c r="AA167" s="25" t="n">
        <f aca="false">AC167</f>
        <v>999999999</v>
      </c>
      <c r="AB167" s="24" t="n">
        <v>0</v>
      </c>
      <c r="AC167" s="25" t="n">
        <v>999999999</v>
      </c>
      <c r="AD167" s="25" t="n">
        <f aca="false">AF167</f>
        <v>999999999</v>
      </c>
      <c r="AE167" s="24" t="n">
        <v>0</v>
      </c>
      <c r="AF167" s="25" t="n">
        <v>999999999</v>
      </c>
      <c r="AG167" s="25" t="n">
        <v>999999999</v>
      </c>
    </row>
    <row r="168" customFormat="false" ht="15" hidden="false" customHeight="false" outlineLevel="0" collapsed="false">
      <c r="A168" s="20" t="s">
        <v>261</v>
      </c>
      <c r="B168" s="20" t="s">
        <v>115</v>
      </c>
      <c r="C168" s="28" t="str">
        <f aca="false">A168&amp;"|"&amp;B168</f>
        <v>SC|MFJ</v>
      </c>
      <c r="D168" s="24" t="n">
        <v>0</v>
      </c>
      <c r="E168" s="25" t="n">
        <v>0</v>
      </c>
      <c r="F168" s="25" t="n">
        <f aca="false">H168</f>
        <v>3350</v>
      </c>
      <c r="G168" s="24" t="n">
        <v>0.03</v>
      </c>
      <c r="H168" s="25" t="n">
        <v>3350</v>
      </c>
      <c r="I168" s="25" t="n">
        <f aca="false">K168</f>
        <v>16680</v>
      </c>
      <c r="J168" s="24" t="n">
        <v>0.06</v>
      </c>
      <c r="K168" s="25" t="n">
        <v>16680</v>
      </c>
      <c r="L168" s="25" t="n">
        <f aca="false">N168</f>
        <v>999999999</v>
      </c>
      <c r="M168" s="24" t="n">
        <v>0</v>
      </c>
      <c r="N168" s="25" t="n">
        <v>999999999</v>
      </c>
      <c r="O168" s="25" t="n">
        <f aca="false">Q168</f>
        <v>999999999</v>
      </c>
      <c r="P168" s="24" t="n">
        <v>0</v>
      </c>
      <c r="Q168" s="25" t="n">
        <v>999999999</v>
      </c>
      <c r="R168" s="25" t="n">
        <f aca="false">T168</f>
        <v>999999999</v>
      </c>
      <c r="S168" s="24" t="n">
        <v>0</v>
      </c>
      <c r="T168" s="25" t="n">
        <v>999999999</v>
      </c>
      <c r="U168" s="25" t="n">
        <f aca="false">W168</f>
        <v>999999999</v>
      </c>
      <c r="V168" s="24" t="n">
        <v>0</v>
      </c>
      <c r="W168" s="25" t="n">
        <v>999999999</v>
      </c>
      <c r="X168" s="25" t="n">
        <f aca="false">Z168</f>
        <v>999999999</v>
      </c>
      <c r="Y168" s="24" t="n">
        <v>0</v>
      </c>
      <c r="Z168" s="25" t="n">
        <v>999999999</v>
      </c>
      <c r="AA168" s="25" t="n">
        <f aca="false">AC168</f>
        <v>999999999</v>
      </c>
      <c r="AB168" s="24" t="n">
        <v>0</v>
      </c>
      <c r="AC168" s="25" t="n">
        <v>999999999</v>
      </c>
      <c r="AD168" s="25" t="n">
        <f aca="false">AF168</f>
        <v>999999999</v>
      </c>
      <c r="AE168" s="24" t="n">
        <v>0</v>
      </c>
      <c r="AF168" s="25" t="n">
        <v>999999999</v>
      </c>
      <c r="AG168" s="25" t="n">
        <v>999999999</v>
      </c>
    </row>
    <row r="169" customFormat="false" ht="15" hidden="false" customHeight="false" outlineLevel="0" collapsed="false">
      <c r="A169" s="20" t="s">
        <v>264</v>
      </c>
      <c r="B169" s="20" t="s">
        <v>114</v>
      </c>
      <c r="C169" s="28" t="str">
        <f aca="false">A169&amp;"|"&amp;B169</f>
        <v>SD|Single</v>
      </c>
      <c r="D169" s="24" t="n">
        <v>0</v>
      </c>
      <c r="E169" s="25" t="n">
        <v>0</v>
      </c>
      <c r="F169" s="25" t="n">
        <f aca="false">H169</f>
        <v>999999999</v>
      </c>
      <c r="G169" s="24" t="n">
        <v>0</v>
      </c>
      <c r="H169" s="25" t="n">
        <v>999999999</v>
      </c>
      <c r="I169" s="25" t="n">
        <f aca="false">K169</f>
        <v>999999999</v>
      </c>
      <c r="J169" s="24" t="n">
        <v>0</v>
      </c>
      <c r="K169" s="25" t="n">
        <v>999999999</v>
      </c>
      <c r="L169" s="25" t="n">
        <f aca="false">N169</f>
        <v>999999999</v>
      </c>
      <c r="M169" s="24" t="n">
        <v>0</v>
      </c>
      <c r="N169" s="25" t="n">
        <v>999999999</v>
      </c>
      <c r="O169" s="25" t="n">
        <f aca="false">Q169</f>
        <v>999999999</v>
      </c>
      <c r="P169" s="24" t="n">
        <v>0</v>
      </c>
      <c r="Q169" s="25" t="n">
        <v>999999999</v>
      </c>
      <c r="R169" s="25" t="n">
        <f aca="false">T169</f>
        <v>999999999</v>
      </c>
      <c r="S169" s="24" t="n">
        <v>0</v>
      </c>
      <c r="T169" s="25" t="n">
        <v>999999999</v>
      </c>
      <c r="U169" s="25" t="n">
        <f aca="false">W169</f>
        <v>999999999</v>
      </c>
      <c r="V169" s="24" t="n">
        <v>0</v>
      </c>
      <c r="W169" s="25" t="n">
        <v>999999999</v>
      </c>
      <c r="X169" s="25" t="n">
        <f aca="false">Z169</f>
        <v>999999999</v>
      </c>
      <c r="Y169" s="24" t="n">
        <v>0</v>
      </c>
      <c r="Z169" s="25" t="n">
        <v>999999999</v>
      </c>
      <c r="AA169" s="25" t="n">
        <f aca="false">AC169</f>
        <v>999999999</v>
      </c>
      <c r="AB169" s="24" t="n">
        <v>0</v>
      </c>
      <c r="AC169" s="25" t="n">
        <v>999999999</v>
      </c>
      <c r="AD169" s="25" t="n">
        <f aca="false">AF169</f>
        <v>999999999</v>
      </c>
      <c r="AE169" s="24" t="n">
        <v>0</v>
      </c>
      <c r="AF169" s="25" t="n">
        <v>999999999</v>
      </c>
      <c r="AG169" s="25" t="n">
        <v>999999999</v>
      </c>
    </row>
    <row r="170" customFormat="false" ht="15" hidden="false" customHeight="false" outlineLevel="0" collapsed="false">
      <c r="A170" s="20" t="s">
        <v>264</v>
      </c>
      <c r="B170" s="20" t="s">
        <v>115</v>
      </c>
      <c r="C170" s="28" t="str">
        <f aca="false">A170&amp;"|"&amp;B170</f>
        <v>SD|MFJ</v>
      </c>
      <c r="D170" s="24" t="n">
        <v>0</v>
      </c>
      <c r="E170" s="25" t="n">
        <v>0</v>
      </c>
      <c r="F170" s="25" t="n">
        <f aca="false">H170</f>
        <v>999999999</v>
      </c>
      <c r="G170" s="24" t="n">
        <v>0</v>
      </c>
      <c r="H170" s="25" t="n">
        <v>999999999</v>
      </c>
      <c r="I170" s="25" t="n">
        <f aca="false">K170</f>
        <v>999999999</v>
      </c>
      <c r="J170" s="24" t="n">
        <v>0</v>
      </c>
      <c r="K170" s="25" t="n">
        <v>999999999</v>
      </c>
      <c r="L170" s="25" t="n">
        <f aca="false">N170</f>
        <v>999999999</v>
      </c>
      <c r="M170" s="24" t="n">
        <v>0</v>
      </c>
      <c r="N170" s="25" t="n">
        <v>999999999</v>
      </c>
      <c r="O170" s="25" t="n">
        <f aca="false">Q170</f>
        <v>999999999</v>
      </c>
      <c r="P170" s="24" t="n">
        <v>0</v>
      </c>
      <c r="Q170" s="25" t="n">
        <v>999999999</v>
      </c>
      <c r="R170" s="25" t="n">
        <f aca="false">T170</f>
        <v>999999999</v>
      </c>
      <c r="S170" s="24" t="n">
        <v>0</v>
      </c>
      <c r="T170" s="25" t="n">
        <v>999999999</v>
      </c>
      <c r="U170" s="25" t="n">
        <f aca="false">W170</f>
        <v>999999999</v>
      </c>
      <c r="V170" s="24" t="n">
        <v>0</v>
      </c>
      <c r="W170" s="25" t="n">
        <v>999999999</v>
      </c>
      <c r="X170" s="25" t="n">
        <f aca="false">Z170</f>
        <v>999999999</v>
      </c>
      <c r="Y170" s="24" t="n">
        <v>0</v>
      </c>
      <c r="Z170" s="25" t="n">
        <v>999999999</v>
      </c>
      <c r="AA170" s="25" t="n">
        <f aca="false">AC170</f>
        <v>999999999</v>
      </c>
      <c r="AB170" s="24" t="n">
        <v>0</v>
      </c>
      <c r="AC170" s="25" t="n">
        <v>999999999</v>
      </c>
      <c r="AD170" s="25" t="n">
        <f aca="false">AF170</f>
        <v>999999999</v>
      </c>
      <c r="AE170" s="24" t="n">
        <v>0</v>
      </c>
      <c r="AF170" s="25" t="n">
        <v>999999999</v>
      </c>
      <c r="AG170" s="25" t="n">
        <v>999999999</v>
      </c>
    </row>
    <row r="171" customFormat="false" ht="15" hidden="false" customHeight="false" outlineLevel="0" collapsed="false">
      <c r="A171" s="20" t="s">
        <v>266</v>
      </c>
      <c r="B171" s="20" t="s">
        <v>114</v>
      </c>
      <c r="C171" s="28" t="str">
        <f aca="false">A171&amp;"|"&amp;B171</f>
        <v>TN|Single</v>
      </c>
      <c r="D171" s="24" t="n">
        <v>0</v>
      </c>
      <c r="E171" s="25" t="n">
        <v>0</v>
      </c>
      <c r="F171" s="25" t="n">
        <f aca="false">H171</f>
        <v>999999999</v>
      </c>
      <c r="G171" s="24" t="n">
        <v>0</v>
      </c>
      <c r="H171" s="25" t="n">
        <v>999999999</v>
      </c>
      <c r="I171" s="25" t="n">
        <f aca="false">K171</f>
        <v>999999999</v>
      </c>
      <c r="J171" s="24" t="n">
        <v>0</v>
      </c>
      <c r="K171" s="25" t="n">
        <v>999999999</v>
      </c>
      <c r="L171" s="25" t="n">
        <f aca="false">N171</f>
        <v>999999999</v>
      </c>
      <c r="M171" s="24" t="n">
        <v>0</v>
      </c>
      <c r="N171" s="25" t="n">
        <v>999999999</v>
      </c>
      <c r="O171" s="25" t="n">
        <f aca="false">Q171</f>
        <v>999999999</v>
      </c>
      <c r="P171" s="24" t="n">
        <v>0</v>
      </c>
      <c r="Q171" s="25" t="n">
        <v>999999999</v>
      </c>
      <c r="R171" s="25" t="n">
        <f aca="false">T171</f>
        <v>999999999</v>
      </c>
      <c r="S171" s="24" t="n">
        <v>0</v>
      </c>
      <c r="T171" s="25" t="n">
        <v>999999999</v>
      </c>
      <c r="U171" s="25" t="n">
        <f aca="false">W171</f>
        <v>999999999</v>
      </c>
      <c r="V171" s="24" t="n">
        <v>0</v>
      </c>
      <c r="W171" s="25" t="n">
        <v>999999999</v>
      </c>
      <c r="X171" s="25" t="n">
        <f aca="false">Z171</f>
        <v>999999999</v>
      </c>
      <c r="Y171" s="24" t="n">
        <v>0</v>
      </c>
      <c r="Z171" s="25" t="n">
        <v>999999999</v>
      </c>
      <c r="AA171" s="25" t="n">
        <f aca="false">AC171</f>
        <v>999999999</v>
      </c>
      <c r="AB171" s="24" t="n">
        <v>0</v>
      </c>
      <c r="AC171" s="25" t="n">
        <v>999999999</v>
      </c>
      <c r="AD171" s="25" t="n">
        <f aca="false">AF171</f>
        <v>999999999</v>
      </c>
      <c r="AE171" s="24" t="n">
        <v>0</v>
      </c>
      <c r="AF171" s="25" t="n">
        <v>999999999</v>
      </c>
      <c r="AG171" s="25" t="n">
        <v>999999999</v>
      </c>
    </row>
    <row r="172" customFormat="false" ht="15" hidden="false" customHeight="false" outlineLevel="0" collapsed="false">
      <c r="A172" s="20" t="s">
        <v>266</v>
      </c>
      <c r="B172" s="20" t="s">
        <v>115</v>
      </c>
      <c r="C172" s="28" t="str">
        <f aca="false">A172&amp;"|"&amp;B172</f>
        <v>TN|MFJ</v>
      </c>
      <c r="D172" s="24" t="n">
        <v>0</v>
      </c>
      <c r="E172" s="25" t="n">
        <v>0</v>
      </c>
      <c r="F172" s="25" t="n">
        <f aca="false">H172</f>
        <v>999999999</v>
      </c>
      <c r="G172" s="24" t="n">
        <v>0</v>
      </c>
      <c r="H172" s="25" t="n">
        <v>999999999</v>
      </c>
      <c r="I172" s="25" t="n">
        <f aca="false">K172</f>
        <v>999999999</v>
      </c>
      <c r="J172" s="24" t="n">
        <v>0</v>
      </c>
      <c r="K172" s="25" t="n">
        <v>999999999</v>
      </c>
      <c r="L172" s="25" t="n">
        <f aca="false">N172</f>
        <v>999999999</v>
      </c>
      <c r="M172" s="24" t="n">
        <v>0</v>
      </c>
      <c r="N172" s="25" t="n">
        <v>999999999</v>
      </c>
      <c r="O172" s="25" t="n">
        <f aca="false">Q172</f>
        <v>999999999</v>
      </c>
      <c r="P172" s="24" t="n">
        <v>0</v>
      </c>
      <c r="Q172" s="25" t="n">
        <v>999999999</v>
      </c>
      <c r="R172" s="25" t="n">
        <f aca="false">T172</f>
        <v>999999999</v>
      </c>
      <c r="S172" s="24" t="n">
        <v>0</v>
      </c>
      <c r="T172" s="25" t="n">
        <v>999999999</v>
      </c>
      <c r="U172" s="25" t="n">
        <f aca="false">W172</f>
        <v>999999999</v>
      </c>
      <c r="V172" s="24" t="n">
        <v>0</v>
      </c>
      <c r="W172" s="25" t="n">
        <v>999999999</v>
      </c>
      <c r="X172" s="25" t="n">
        <f aca="false">Z172</f>
        <v>999999999</v>
      </c>
      <c r="Y172" s="24" t="n">
        <v>0</v>
      </c>
      <c r="Z172" s="25" t="n">
        <v>999999999</v>
      </c>
      <c r="AA172" s="25" t="n">
        <f aca="false">AC172</f>
        <v>999999999</v>
      </c>
      <c r="AB172" s="24" t="n">
        <v>0</v>
      </c>
      <c r="AC172" s="25" t="n">
        <v>999999999</v>
      </c>
      <c r="AD172" s="25" t="n">
        <f aca="false">AF172</f>
        <v>999999999</v>
      </c>
      <c r="AE172" s="24" t="n">
        <v>0</v>
      </c>
      <c r="AF172" s="25" t="n">
        <v>999999999</v>
      </c>
      <c r="AG172" s="25" t="n">
        <v>999999999</v>
      </c>
    </row>
    <row r="173" customFormat="false" ht="15" hidden="false" customHeight="false" outlineLevel="0" collapsed="false">
      <c r="A173" s="20" t="s">
        <v>268</v>
      </c>
      <c r="B173" s="20" t="s">
        <v>114</v>
      </c>
      <c r="C173" s="28" t="str">
        <f aca="false">A173&amp;"|"&amp;B173</f>
        <v>TX|Single</v>
      </c>
      <c r="D173" s="24" t="n">
        <v>0</v>
      </c>
      <c r="E173" s="25" t="n">
        <v>0</v>
      </c>
      <c r="F173" s="25" t="n">
        <f aca="false">H173</f>
        <v>999999999</v>
      </c>
      <c r="G173" s="24" t="n">
        <v>0</v>
      </c>
      <c r="H173" s="25" t="n">
        <v>999999999</v>
      </c>
      <c r="I173" s="25" t="n">
        <f aca="false">K173</f>
        <v>999999999</v>
      </c>
      <c r="J173" s="24" t="n">
        <v>0</v>
      </c>
      <c r="K173" s="25" t="n">
        <v>999999999</v>
      </c>
      <c r="L173" s="25" t="n">
        <f aca="false">N173</f>
        <v>999999999</v>
      </c>
      <c r="M173" s="24" t="n">
        <v>0</v>
      </c>
      <c r="N173" s="25" t="n">
        <v>999999999</v>
      </c>
      <c r="O173" s="25" t="n">
        <f aca="false">Q173</f>
        <v>999999999</v>
      </c>
      <c r="P173" s="24" t="n">
        <v>0</v>
      </c>
      <c r="Q173" s="25" t="n">
        <v>999999999</v>
      </c>
      <c r="R173" s="25" t="n">
        <f aca="false">T173</f>
        <v>999999999</v>
      </c>
      <c r="S173" s="24" t="n">
        <v>0</v>
      </c>
      <c r="T173" s="25" t="n">
        <v>999999999</v>
      </c>
      <c r="U173" s="25" t="n">
        <f aca="false">W173</f>
        <v>999999999</v>
      </c>
      <c r="V173" s="24" t="n">
        <v>0</v>
      </c>
      <c r="W173" s="25" t="n">
        <v>999999999</v>
      </c>
      <c r="X173" s="25" t="n">
        <f aca="false">Z173</f>
        <v>999999999</v>
      </c>
      <c r="Y173" s="24" t="n">
        <v>0</v>
      </c>
      <c r="Z173" s="25" t="n">
        <v>999999999</v>
      </c>
      <c r="AA173" s="25" t="n">
        <f aca="false">AC173</f>
        <v>999999999</v>
      </c>
      <c r="AB173" s="24" t="n">
        <v>0</v>
      </c>
      <c r="AC173" s="25" t="n">
        <v>999999999</v>
      </c>
      <c r="AD173" s="25" t="n">
        <f aca="false">AF173</f>
        <v>999999999</v>
      </c>
      <c r="AE173" s="24" t="n">
        <v>0</v>
      </c>
      <c r="AF173" s="25" t="n">
        <v>999999999</v>
      </c>
      <c r="AG173" s="25" t="n">
        <v>999999999</v>
      </c>
    </row>
    <row r="174" customFormat="false" ht="15" hidden="false" customHeight="false" outlineLevel="0" collapsed="false">
      <c r="A174" s="20" t="s">
        <v>268</v>
      </c>
      <c r="B174" s="20" t="s">
        <v>115</v>
      </c>
      <c r="C174" s="28" t="str">
        <f aca="false">A174&amp;"|"&amp;B174</f>
        <v>TX|MFJ</v>
      </c>
      <c r="D174" s="24" t="n">
        <v>0</v>
      </c>
      <c r="E174" s="25" t="n">
        <v>0</v>
      </c>
      <c r="F174" s="25" t="n">
        <f aca="false">H174</f>
        <v>999999999</v>
      </c>
      <c r="G174" s="24" t="n">
        <v>0</v>
      </c>
      <c r="H174" s="25" t="n">
        <v>999999999</v>
      </c>
      <c r="I174" s="25" t="n">
        <f aca="false">K174</f>
        <v>999999999</v>
      </c>
      <c r="J174" s="24" t="n">
        <v>0</v>
      </c>
      <c r="K174" s="25" t="n">
        <v>999999999</v>
      </c>
      <c r="L174" s="25" t="n">
        <f aca="false">N174</f>
        <v>999999999</v>
      </c>
      <c r="M174" s="24" t="n">
        <v>0</v>
      </c>
      <c r="N174" s="25" t="n">
        <v>999999999</v>
      </c>
      <c r="O174" s="25" t="n">
        <f aca="false">Q174</f>
        <v>999999999</v>
      </c>
      <c r="P174" s="24" t="n">
        <v>0</v>
      </c>
      <c r="Q174" s="25" t="n">
        <v>999999999</v>
      </c>
      <c r="R174" s="25" t="n">
        <f aca="false">T174</f>
        <v>999999999</v>
      </c>
      <c r="S174" s="24" t="n">
        <v>0</v>
      </c>
      <c r="T174" s="25" t="n">
        <v>999999999</v>
      </c>
      <c r="U174" s="25" t="n">
        <f aca="false">W174</f>
        <v>999999999</v>
      </c>
      <c r="V174" s="24" t="n">
        <v>0</v>
      </c>
      <c r="W174" s="25" t="n">
        <v>999999999</v>
      </c>
      <c r="X174" s="25" t="n">
        <f aca="false">Z174</f>
        <v>999999999</v>
      </c>
      <c r="Y174" s="24" t="n">
        <v>0</v>
      </c>
      <c r="Z174" s="25" t="n">
        <v>999999999</v>
      </c>
      <c r="AA174" s="25" t="n">
        <f aca="false">AC174</f>
        <v>999999999</v>
      </c>
      <c r="AB174" s="24" t="n">
        <v>0</v>
      </c>
      <c r="AC174" s="25" t="n">
        <v>999999999</v>
      </c>
      <c r="AD174" s="25" t="n">
        <f aca="false">AF174</f>
        <v>999999999</v>
      </c>
      <c r="AE174" s="24" t="n">
        <v>0</v>
      </c>
      <c r="AF174" s="25" t="n">
        <v>999999999</v>
      </c>
      <c r="AG174" s="25" t="n">
        <v>999999999</v>
      </c>
    </row>
    <row r="175" customFormat="false" ht="15" hidden="false" customHeight="false" outlineLevel="0" collapsed="false">
      <c r="A175" s="20" t="s">
        <v>270</v>
      </c>
      <c r="B175" s="20" t="s">
        <v>114</v>
      </c>
      <c r="C175" s="28" t="str">
        <f aca="false">A175&amp;"|"&amp;B175</f>
        <v>UT|Single</v>
      </c>
      <c r="D175" s="24" t="n">
        <v>0.045</v>
      </c>
      <c r="E175" s="25" t="n">
        <v>0</v>
      </c>
      <c r="F175" s="25" t="n">
        <f aca="false">H175</f>
        <v>999999999</v>
      </c>
      <c r="G175" s="24" t="n">
        <v>0</v>
      </c>
      <c r="H175" s="25" t="n">
        <v>999999999</v>
      </c>
      <c r="I175" s="25" t="n">
        <f aca="false">K175</f>
        <v>999999999</v>
      </c>
      <c r="J175" s="24" t="n">
        <v>0</v>
      </c>
      <c r="K175" s="25" t="n">
        <v>999999999</v>
      </c>
      <c r="L175" s="25" t="n">
        <f aca="false">N175</f>
        <v>999999999</v>
      </c>
      <c r="M175" s="24" t="n">
        <v>0</v>
      </c>
      <c r="N175" s="25" t="n">
        <v>999999999</v>
      </c>
      <c r="O175" s="25" t="n">
        <f aca="false">Q175</f>
        <v>999999999</v>
      </c>
      <c r="P175" s="24" t="n">
        <v>0</v>
      </c>
      <c r="Q175" s="25" t="n">
        <v>999999999</v>
      </c>
      <c r="R175" s="25" t="n">
        <f aca="false">T175</f>
        <v>999999999</v>
      </c>
      <c r="S175" s="24" t="n">
        <v>0</v>
      </c>
      <c r="T175" s="25" t="n">
        <v>999999999</v>
      </c>
      <c r="U175" s="25" t="n">
        <f aca="false">W175</f>
        <v>999999999</v>
      </c>
      <c r="V175" s="24" t="n">
        <v>0</v>
      </c>
      <c r="W175" s="25" t="n">
        <v>999999999</v>
      </c>
      <c r="X175" s="25" t="n">
        <f aca="false">Z175</f>
        <v>999999999</v>
      </c>
      <c r="Y175" s="24" t="n">
        <v>0</v>
      </c>
      <c r="Z175" s="25" t="n">
        <v>999999999</v>
      </c>
      <c r="AA175" s="25" t="n">
        <f aca="false">AC175</f>
        <v>999999999</v>
      </c>
      <c r="AB175" s="24" t="n">
        <v>0</v>
      </c>
      <c r="AC175" s="25" t="n">
        <v>999999999</v>
      </c>
      <c r="AD175" s="25" t="n">
        <f aca="false">AF175</f>
        <v>999999999</v>
      </c>
      <c r="AE175" s="24" t="n">
        <v>0</v>
      </c>
      <c r="AF175" s="25" t="n">
        <v>999999999</v>
      </c>
      <c r="AG175" s="25" t="n">
        <v>999999999</v>
      </c>
    </row>
    <row r="176" customFormat="false" ht="15" hidden="false" customHeight="false" outlineLevel="0" collapsed="false">
      <c r="A176" s="20" t="s">
        <v>270</v>
      </c>
      <c r="B176" s="20" t="s">
        <v>115</v>
      </c>
      <c r="C176" s="28" t="str">
        <f aca="false">A176&amp;"|"&amp;B176</f>
        <v>UT|MFJ</v>
      </c>
      <c r="D176" s="24" t="n">
        <v>0.045</v>
      </c>
      <c r="E176" s="25" t="n">
        <v>0</v>
      </c>
      <c r="F176" s="25" t="n">
        <f aca="false">H176</f>
        <v>999999999</v>
      </c>
      <c r="G176" s="24" t="n">
        <v>0</v>
      </c>
      <c r="H176" s="25" t="n">
        <v>999999999</v>
      </c>
      <c r="I176" s="25" t="n">
        <f aca="false">K176</f>
        <v>999999999</v>
      </c>
      <c r="J176" s="24" t="n">
        <v>0</v>
      </c>
      <c r="K176" s="25" t="n">
        <v>999999999</v>
      </c>
      <c r="L176" s="25" t="n">
        <f aca="false">N176</f>
        <v>999999999</v>
      </c>
      <c r="M176" s="24" t="n">
        <v>0</v>
      </c>
      <c r="N176" s="25" t="n">
        <v>999999999</v>
      </c>
      <c r="O176" s="25" t="n">
        <f aca="false">Q176</f>
        <v>999999999</v>
      </c>
      <c r="P176" s="24" t="n">
        <v>0</v>
      </c>
      <c r="Q176" s="25" t="n">
        <v>999999999</v>
      </c>
      <c r="R176" s="25" t="n">
        <f aca="false">T176</f>
        <v>999999999</v>
      </c>
      <c r="S176" s="24" t="n">
        <v>0</v>
      </c>
      <c r="T176" s="25" t="n">
        <v>999999999</v>
      </c>
      <c r="U176" s="25" t="n">
        <f aca="false">W176</f>
        <v>999999999</v>
      </c>
      <c r="V176" s="24" t="n">
        <v>0</v>
      </c>
      <c r="W176" s="25" t="n">
        <v>999999999</v>
      </c>
      <c r="X176" s="25" t="n">
        <f aca="false">Z176</f>
        <v>999999999</v>
      </c>
      <c r="Y176" s="24" t="n">
        <v>0</v>
      </c>
      <c r="Z176" s="25" t="n">
        <v>999999999</v>
      </c>
      <c r="AA176" s="25" t="n">
        <f aca="false">AC176</f>
        <v>999999999</v>
      </c>
      <c r="AB176" s="24" t="n">
        <v>0</v>
      </c>
      <c r="AC176" s="25" t="n">
        <v>999999999</v>
      </c>
      <c r="AD176" s="25" t="n">
        <f aca="false">AF176</f>
        <v>999999999</v>
      </c>
      <c r="AE176" s="24" t="n">
        <v>0</v>
      </c>
      <c r="AF176" s="25" t="n">
        <v>999999999</v>
      </c>
      <c r="AG176" s="25" t="n">
        <v>999999999</v>
      </c>
    </row>
    <row r="177" customFormat="false" ht="15" hidden="false" customHeight="false" outlineLevel="0" collapsed="false">
      <c r="A177" s="20" t="s">
        <v>274</v>
      </c>
      <c r="B177" s="20" t="s">
        <v>114</v>
      </c>
      <c r="C177" s="28" t="str">
        <f aca="false">A177&amp;"|"&amp;B177</f>
        <v>VT|Single</v>
      </c>
      <c r="D177" s="24" t="n">
        <v>0.0335</v>
      </c>
      <c r="E177" s="25" t="n">
        <v>0</v>
      </c>
      <c r="F177" s="25" t="n">
        <f aca="false">H177</f>
        <v>53225</v>
      </c>
      <c r="G177" s="24" t="n">
        <v>0.066</v>
      </c>
      <c r="H177" s="25" t="n">
        <v>53225</v>
      </c>
      <c r="I177" s="25" t="n">
        <f aca="false">K177</f>
        <v>123525</v>
      </c>
      <c r="J177" s="24" t="n">
        <v>0.076</v>
      </c>
      <c r="K177" s="25" t="n">
        <v>123525</v>
      </c>
      <c r="L177" s="25" t="n">
        <f aca="false">N177</f>
        <v>253525</v>
      </c>
      <c r="M177" s="24" t="n">
        <v>0.0875</v>
      </c>
      <c r="N177" s="25" t="n">
        <v>253525</v>
      </c>
      <c r="O177" s="25" t="n">
        <f aca="false">Q177</f>
        <v>999999999</v>
      </c>
      <c r="P177" s="24" t="n">
        <v>0</v>
      </c>
      <c r="Q177" s="25" t="n">
        <v>999999999</v>
      </c>
      <c r="R177" s="25" t="n">
        <f aca="false">T177</f>
        <v>999999999</v>
      </c>
      <c r="S177" s="24" t="n">
        <v>0</v>
      </c>
      <c r="T177" s="25" t="n">
        <v>999999999</v>
      </c>
      <c r="U177" s="25" t="n">
        <f aca="false">W177</f>
        <v>999999999</v>
      </c>
      <c r="V177" s="24" t="n">
        <v>0</v>
      </c>
      <c r="W177" s="25" t="n">
        <v>999999999</v>
      </c>
      <c r="X177" s="25" t="n">
        <f aca="false">Z177</f>
        <v>999999999</v>
      </c>
      <c r="Y177" s="24" t="n">
        <v>0</v>
      </c>
      <c r="Z177" s="25" t="n">
        <v>999999999</v>
      </c>
      <c r="AA177" s="25" t="n">
        <f aca="false">AC177</f>
        <v>999999999</v>
      </c>
      <c r="AB177" s="24" t="n">
        <v>0</v>
      </c>
      <c r="AC177" s="25" t="n">
        <v>999999999</v>
      </c>
      <c r="AD177" s="25" t="n">
        <f aca="false">AF177</f>
        <v>999999999</v>
      </c>
      <c r="AE177" s="24" t="n">
        <v>0</v>
      </c>
      <c r="AF177" s="25" t="n">
        <v>999999999</v>
      </c>
      <c r="AG177" s="25" t="n">
        <v>999999999</v>
      </c>
    </row>
    <row r="178" customFormat="false" ht="15" hidden="false" customHeight="false" outlineLevel="0" collapsed="false">
      <c r="A178" s="20" t="s">
        <v>274</v>
      </c>
      <c r="B178" s="20" t="s">
        <v>115</v>
      </c>
      <c r="C178" s="28" t="str">
        <f aca="false">A178&amp;"|"&amp;B178</f>
        <v>VT|MFJ</v>
      </c>
      <c r="D178" s="24" t="n">
        <v>0.0335</v>
      </c>
      <c r="E178" s="25" t="n">
        <v>0</v>
      </c>
      <c r="F178" s="25" t="n">
        <f aca="false">H178</f>
        <v>88700</v>
      </c>
      <c r="G178" s="24" t="n">
        <v>0.066</v>
      </c>
      <c r="H178" s="25" t="n">
        <v>88700</v>
      </c>
      <c r="I178" s="25" t="n">
        <f aca="false">K178</f>
        <v>214150</v>
      </c>
      <c r="J178" s="24" t="n">
        <v>0.076</v>
      </c>
      <c r="K178" s="25" t="n">
        <v>214150</v>
      </c>
      <c r="L178" s="25" t="n">
        <f aca="false">N178</f>
        <v>327700</v>
      </c>
      <c r="M178" s="24" t="n">
        <v>0.0875</v>
      </c>
      <c r="N178" s="25" t="n">
        <v>327700</v>
      </c>
      <c r="O178" s="25" t="n">
        <f aca="false">Q178</f>
        <v>999999999</v>
      </c>
      <c r="P178" s="24" t="n">
        <v>0</v>
      </c>
      <c r="Q178" s="25" t="n">
        <v>999999999</v>
      </c>
      <c r="R178" s="25" t="n">
        <f aca="false">T178</f>
        <v>999999999</v>
      </c>
      <c r="S178" s="24" t="n">
        <v>0</v>
      </c>
      <c r="T178" s="25" t="n">
        <v>999999999</v>
      </c>
      <c r="U178" s="25" t="n">
        <f aca="false">W178</f>
        <v>999999999</v>
      </c>
      <c r="V178" s="24" t="n">
        <v>0</v>
      </c>
      <c r="W178" s="25" t="n">
        <v>999999999</v>
      </c>
      <c r="X178" s="25" t="n">
        <f aca="false">Z178</f>
        <v>999999999</v>
      </c>
      <c r="Y178" s="24" t="n">
        <v>0</v>
      </c>
      <c r="Z178" s="25" t="n">
        <v>999999999</v>
      </c>
      <c r="AA178" s="25" t="n">
        <f aca="false">AC178</f>
        <v>999999999</v>
      </c>
      <c r="AB178" s="24" t="n">
        <v>0</v>
      </c>
      <c r="AC178" s="25" t="n">
        <v>999999999</v>
      </c>
      <c r="AD178" s="25" t="n">
        <f aca="false">AF178</f>
        <v>999999999</v>
      </c>
      <c r="AE178" s="24" t="n">
        <v>0</v>
      </c>
      <c r="AF178" s="25" t="n">
        <v>999999999</v>
      </c>
      <c r="AG178" s="25" t="n">
        <v>999999999</v>
      </c>
    </row>
    <row r="179" customFormat="false" ht="15" hidden="false" customHeight="false" outlineLevel="0" collapsed="false">
      <c r="A179" s="20" t="s">
        <v>277</v>
      </c>
      <c r="B179" s="20" t="s">
        <v>114</v>
      </c>
      <c r="C179" s="28" t="str">
        <f aca="false">A179&amp;"|"&amp;B179</f>
        <v>VA|Single</v>
      </c>
      <c r="D179" s="24" t="n">
        <v>0.02</v>
      </c>
      <c r="E179" s="25" t="n">
        <v>0</v>
      </c>
      <c r="F179" s="25" t="n">
        <f aca="false">H179</f>
        <v>3000</v>
      </c>
      <c r="G179" s="24" t="n">
        <v>0.03</v>
      </c>
      <c r="H179" s="25" t="n">
        <v>3000</v>
      </c>
      <c r="I179" s="25" t="n">
        <f aca="false">K179</f>
        <v>5000</v>
      </c>
      <c r="J179" s="24" t="n">
        <v>0.05</v>
      </c>
      <c r="K179" s="25" t="n">
        <v>5000</v>
      </c>
      <c r="L179" s="25" t="n">
        <f aca="false">N179</f>
        <v>17000</v>
      </c>
      <c r="M179" s="24" t="n">
        <v>0.0575</v>
      </c>
      <c r="N179" s="25" t="n">
        <v>17000</v>
      </c>
      <c r="O179" s="25" t="n">
        <f aca="false">Q179</f>
        <v>999999999</v>
      </c>
      <c r="P179" s="24" t="n">
        <v>0</v>
      </c>
      <c r="Q179" s="25" t="n">
        <v>999999999</v>
      </c>
      <c r="R179" s="25" t="n">
        <f aca="false">T179</f>
        <v>999999999</v>
      </c>
      <c r="S179" s="24" t="n">
        <v>0</v>
      </c>
      <c r="T179" s="25" t="n">
        <v>999999999</v>
      </c>
      <c r="U179" s="25" t="n">
        <f aca="false">W179</f>
        <v>999999999</v>
      </c>
      <c r="V179" s="24" t="n">
        <v>0</v>
      </c>
      <c r="W179" s="25" t="n">
        <v>999999999</v>
      </c>
      <c r="X179" s="25" t="n">
        <f aca="false">Z179</f>
        <v>999999999</v>
      </c>
      <c r="Y179" s="24" t="n">
        <v>0</v>
      </c>
      <c r="Z179" s="25" t="n">
        <v>999999999</v>
      </c>
      <c r="AA179" s="25" t="n">
        <f aca="false">AC179</f>
        <v>999999999</v>
      </c>
      <c r="AB179" s="24" t="n">
        <v>0</v>
      </c>
      <c r="AC179" s="25" t="n">
        <v>999999999</v>
      </c>
      <c r="AD179" s="25" t="n">
        <f aca="false">AF179</f>
        <v>999999999</v>
      </c>
      <c r="AE179" s="24" t="n">
        <v>0</v>
      </c>
      <c r="AF179" s="25" t="n">
        <v>999999999</v>
      </c>
      <c r="AG179" s="25" t="n">
        <v>999999999</v>
      </c>
    </row>
    <row r="180" customFormat="false" ht="15" hidden="false" customHeight="false" outlineLevel="0" collapsed="false">
      <c r="A180" s="20" t="s">
        <v>277</v>
      </c>
      <c r="B180" s="20" t="s">
        <v>115</v>
      </c>
      <c r="C180" s="28" t="str">
        <f aca="false">A180&amp;"|"&amp;B180</f>
        <v>VA|MFJ</v>
      </c>
      <c r="D180" s="24" t="n">
        <v>0.02</v>
      </c>
      <c r="E180" s="25" t="n">
        <v>0</v>
      </c>
      <c r="F180" s="25" t="n">
        <f aca="false">H180</f>
        <v>3000</v>
      </c>
      <c r="G180" s="24" t="n">
        <v>0.03</v>
      </c>
      <c r="H180" s="25" t="n">
        <v>3000</v>
      </c>
      <c r="I180" s="25" t="n">
        <f aca="false">K180</f>
        <v>5000</v>
      </c>
      <c r="J180" s="24" t="n">
        <v>0.05</v>
      </c>
      <c r="K180" s="25" t="n">
        <v>5000</v>
      </c>
      <c r="L180" s="25" t="n">
        <f aca="false">N180</f>
        <v>17000</v>
      </c>
      <c r="M180" s="24" t="n">
        <v>0.0575</v>
      </c>
      <c r="N180" s="25" t="n">
        <v>17000</v>
      </c>
      <c r="O180" s="25" t="n">
        <f aca="false">Q180</f>
        <v>999999999</v>
      </c>
      <c r="P180" s="24" t="n">
        <v>0</v>
      </c>
      <c r="Q180" s="25" t="n">
        <v>999999999</v>
      </c>
      <c r="R180" s="25" t="n">
        <f aca="false">T180</f>
        <v>999999999</v>
      </c>
      <c r="S180" s="24" t="n">
        <v>0</v>
      </c>
      <c r="T180" s="25" t="n">
        <v>999999999</v>
      </c>
      <c r="U180" s="25" t="n">
        <f aca="false">W180</f>
        <v>999999999</v>
      </c>
      <c r="V180" s="24" t="n">
        <v>0</v>
      </c>
      <c r="W180" s="25" t="n">
        <v>999999999</v>
      </c>
      <c r="X180" s="25" t="n">
        <f aca="false">Z180</f>
        <v>999999999</v>
      </c>
      <c r="Y180" s="24" t="n">
        <v>0</v>
      </c>
      <c r="Z180" s="25" t="n">
        <v>999999999</v>
      </c>
      <c r="AA180" s="25" t="n">
        <f aca="false">AC180</f>
        <v>999999999</v>
      </c>
      <c r="AB180" s="24" t="n">
        <v>0</v>
      </c>
      <c r="AC180" s="25" t="n">
        <v>999999999</v>
      </c>
      <c r="AD180" s="25" t="n">
        <f aca="false">AF180</f>
        <v>999999999</v>
      </c>
      <c r="AE180" s="24" t="n">
        <v>0</v>
      </c>
      <c r="AF180" s="25" t="n">
        <v>999999999</v>
      </c>
      <c r="AG180" s="25" t="n">
        <v>999999999</v>
      </c>
    </row>
    <row r="181" customFormat="false" ht="15" hidden="false" customHeight="false" outlineLevel="0" collapsed="false">
      <c r="A181" s="20" t="s">
        <v>279</v>
      </c>
      <c r="B181" s="20" t="s">
        <v>114</v>
      </c>
      <c r="C181" s="28" t="str">
        <f aca="false">A181&amp;"|"&amp;B181</f>
        <v>WA|Single</v>
      </c>
      <c r="D181" s="24" t="n">
        <v>0</v>
      </c>
      <c r="E181" s="25" t="n">
        <v>0</v>
      </c>
      <c r="F181" s="25" t="n">
        <f aca="false">H181</f>
        <v>999999999</v>
      </c>
      <c r="G181" s="24" t="n">
        <v>0</v>
      </c>
      <c r="H181" s="25" t="n">
        <v>999999999</v>
      </c>
      <c r="I181" s="25" t="n">
        <f aca="false">K181</f>
        <v>999999999</v>
      </c>
      <c r="J181" s="24" t="n">
        <v>0</v>
      </c>
      <c r="K181" s="25" t="n">
        <v>999999999</v>
      </c>
      <c r="L181" s="25" t="n">
        <f aca="false">N181</f>
        <v>999999999</v>
      </c>
      <c r="M181" s="24" t="n">
        <v>0</v>
      </c>
      <c r="N181" s="25" t="n">
        <v>999999999</v>
      </c>
      <c r="O181" s="25" t="n">
        <f aca="false">Q181</f>
        <v>999999999</v>
      </c>
      <c r="P181" s="24" t="n">
        <v>0</v>
      </c>
      <c r="Q181" s="25" t="n">
        <v>999999999</v>
      </c>
      <c r="R181" s="25" t="n">
        <f aca="false">T181</f>
        <v>999999999</v>
      </c>
      <c r="S181" s="24" t="n">
        <v>0</v>
      </c>
      <c r="T181" s="25" t="n">
        <v>999999999</v>
      </c>
      <c r="U181" s="25" t="n">
        <f aca="false">W181</f>
        <v>999999999</v>
      </c>
      <c r="V181" s="24" t="n">
        <v>0</v>
      </c>
      <c r="W181" s="25" t="n">
        <v>999999999</v>
      </c>
      <c r="X181" s="25" t="n">
        <f aca="false">Z181</f>
        <v>999999999</v>
      </c>
      <c r="Y181" s="24" t="n">
        <v>0</v>
      </c>
      <c r="Z181" s="25" t="n">
        <v>999999999</v>
      </c>
      <c r="AA181" s="25" t="n">
        <f aca="false">AC181</f>
        <v>999999999</v>
      </c>
      <c r="AB181" s="24" t="n">
        <v>0</v>
      </c>
      <c r="AC181" s="25" t="n">
        <v>999999999</v>
      </c>
      <c r="AD181" s="25" t="n">
        <f aca="false">AF181</f>
        <v>999999999</v>
      </c>
      <c r="AE181" s="24" t="n">
        <v>0</v>
      </c>
      <c r="AF181" s="25" t="n">
        <v>999999999</v>
      </c>
      <c r="AG181" s="25" t="n">
        <v>999999999</v>
      </c>
    </row>
    <row r="182" customFormat="false" ht="15" hidden="false" customHeight="false" outlineLevel="0" collapsed="false">
      <c r="A182" s="20" t="s">
        <v>279</v>
      </c>
      <c r="B182" s="20" t="s">
        <v>115</v>
      </c>
      <c r="C182" s="28" t="str">
        <f aca="false">A182&amp;"|"&amp;B182</f>
        <v>WA|MFJ</v>
      </c>
      <c r="D182" s="24" t="n">
        <v>0</v>
      </c>
      <c r="E182" s="25" t="n">
        <v>0</v>
      </c>
      <c r="F182" s="25" t="n">
        <f aca="false">H182</f>
        <v>999999999</v>
      </c>
      <c r="G182" s="24" t="n">
        <v>0</v>
      </c>
      <c r="H182" s="25" t="n">
        <v>999999999</v>
      </c>
      <c r="I182" s="25" t="n">
        <f aca="false">K182</f>
        <v>999999999</v>
      </c>
      <c r="J182" s="24" t="n">
        <v>0</v>
      </c>
      <c r="K182" s="25" t="n">
        <v>999999999</v>
      </c>
      <c r="L182" s="25" t="n">
        <f aca="false">N182</f>
        <v>999999999</v>
      </c>
      <c r="M182" s="24" t="n">
        <v>0</v>
      </c>
      <c r="N182" s="25" t="n">
        <v>999999999</v>
      </c>
      <c r="O182" s="25" t="n">
        <f aca="false">Q182</f>
        <v>999999999</v>
      </c>
      <c r="P182" s="24" t="n">
        <v>0</v>
      </c>
      <c r="Q182" s="25" t="n">
        <v>999999999</v>
      </c>
      <c r="R182" s="25" t="n">
        <f aca="false">T182</f>
        <v>999999999</v>
      </c>
      <c r="S182" s="24" t="n">
        <v>0</v>
      </c>
      <c r="T182" s="25" t="n">
        <v>999999999</v>
      </c>
      <c r="U182" s="25" t="n">
        <f aca="false">W182</f>
        <v>999999999</v>
      </c>
      <c r="V182" s="24" t="n">
        <v>0</v>
      </c>
      <c r="W182" s="25" t="n">
        <v>999999999</v>
      </c>
      <c r="X182" s="25" t="n">
        <f aca="false">Z182</f>
        <v>999999999</v>
      </c>
      <c r="Y182" s="24" t="n">
        <v>0</v>
      </c>
      <c r="Z182" s="25" t="n">
        <v>999999999</v>
      </c>
      <c r="AA182" s="25" t="n">
        <f aca="false">AC182</f>
        <v>999999999</v>
      </c>
      <c r="AB182" s="24" t="n">
        <v>0</v>
      </c>
      <c r="AC182" s="25" t="n">
        <v>999999999</v>
      </c>
      <c r="AD182" s="25" t="n">
        <f aca="false">AF182</f>
        <v>999999999</v>
      </c>
      <c r="AE182" s="24" t="n">
        <v>0</v>
      </c>
      <c r="AF182" s="25" t="n">
        <v>999999999</v>
      </c>
      <c r="AG182" s="25" t="n">
        <v>999999999</v>
      </c>
    </row>
    <row r="183" customFormat="false" ht="15" hidden="false" customHeight="false" outlineLevel="0" collapsed="false">
      <c r="A183" s="20" t="s">
        <v>282</v>
      </c>
      <c r="B183" s="20" t="s">
        <v>114</v>
      </c>
      <c r="C183" s="28" t="str">
        <f aca="false">A183&amp;"|"&amp;B183</f>
        <v>WV|Single</v>
      </c>
      <c r="D183" s="24" t="n">
        <v>0.0222</v>
      </c>
      <c r="E183" s="25" t="n">
        <v>0</v>
      </c>
      <c r="F183" s="25" t="n">
        <f aca="false">H183</f>
        <v>10000</v>
      </c>
      <c r="G183" s="24" t="n">
        <v>0.0296</v>
      </c>
      <c r="H183" s="25" t="n">
        <v>10000</v>
      </c>
      <c r="I183" s="25" t="n">
        <f aca="false">K183</f>
        <v>25000</v>
      </c>
      <c r="J183" s="24" t="n">
        <v>0.0333</v>
      </c>
      <c r="K183" s="25" t="n">
        <v>25000</v>
      </c>
      <c r="L183" s="25" t="n">
        <f aca="false">N183</f>
        <v>40000</v>
      </c>
      <c r="M183" s="24" t="n">
        <v>0.0444</v>
      </c>
      <c r="N183" s="25" t="n">
        <v>40000</v>
      </c>
      <c r="O183" s="25" t="n">
        <f aca="false">Q183</f>
        <v>60000</v>
      </c>
      <c r="P183" s="24" t="n">
        <v>0.0482</v>
      </c>
      <c r="Q183" s="25" t="n">
        <v>60000</v>
      </c>
      <c r="R183" s="25" t="n">
        <f aca="false">T183</f>
        <v>999999999</v>
      </c>
      <c r="S183" s="24" t="n">
        <v>0</v>
      </c>
      <c r="T183" s="25" t="n">
        <v>999999999</v>
      </c>
      <c r="U183" s="25" t="n">
        <f aca="false">W183</f>
        <v>999999999</v>
      </c>
      <c r="V183" s="24" t="n">
        <v>0</v>
      </c>
      <c r="W183" s="25" t="n">
        <v>999999999</v>
      </c>
      <c r="X183" s="25" t="n">
        <f aca="false">Z183</f>
        <v>999999999</v>
      </c>
      <c r="Y183" s="24" t="n">
        <v>0</v>
      </c>
      <c r="Z183" s="25" t="n">
        <v>999999999</v>
      </c>
      <c r="AA183" s="25" t="n">
        <f aca="false">AC183</f>
        <v>999999999</v>
      </c>
      <c r="AB183" s="24" t="n">
        <v>0</v>
      </c>
      <c r="AC183" s="25" t="n">
        <v>999999999</v>
      </c>
      <c r="AD183" s="25" t="n">
        <f aca="false">AF183</f>
        <v>999999999</v>
      </c>
      <c r="AE183" s="24" t="n">
        <v>0</v>
      </c>
      <c r="AF183" s="25" t="n">
        <v>999999999</v>
      </c>
      <c r="AG183" s="25" t="n">
        <v>999999999</v>
      </c>
    </row>
    <row r="184" customFormat="false" ht="15" hidden="false" customHeight="false" outlineLevel="0" collapsed="false">
      <c r="A184" s="20" t="s">
        <v>282</v>
      </c>
      <c r="B184" s="20" t="s">
        <v>115</v>
      </c>
      <c r="C184" s="28" t="str">
        <f aca="false">A184&amp;"|"&amp;B184</f>
        <v>WV|MFJ</v>
      </c>
      <c r="D184" s="24" t="n">
        <v>0.0222</v>
      </c>
      <c r="E184" s="25" t="n">
        <v>0</v>
      </c>
      <c r="F184" s="25" t="n">
        <f aca="false">H184</f>
        <v>10000</v>
      </c>
      <c r="G184" s="24" t="n">
        <v>0.0296</v>
      </c>
      <c r="H184" s="25" t="n">
        <v>10000</v>
      </c>
      <c r="I184" s="25" t="n">
        <f aca="false">K184</f>
        <v>25000</v>
      </c>
      <c r="J184" s="24" t="n">
        <v>0.0333</v>
      </c>
      <c r="K184" s="25" t="n">
        <v>25000</v>
      </c>
      <c r="L184" s="25" t="n">
        <f aca="false">N184</f>
        <v>40000</v>
      </c>
      <c r="M184" s="24" t="n">
        <v>0.0444</v>
      </c>
      <c r="N184" s="25" t="n">
        <v>40000</v>
      </c>
      <c r="O184" s="25" t="n">
        <f aca="false">Q184</f>
        <v>60000</v>
      </c>
      <c r="P184" s="24" t="n">
        <v>0.0482</v>
      </c>
      <c r="Q184" s="25" t="n">
        <v>60000</v>
      </c>
      <c r="R184" s="25" t="n">
        <f aca="false">T184</f>
        <v>999999999</v>
      </c>
      <c r="S184" s="24" t="n">
        <v>0</v>
      </c>
      <c r="T184" s="25" t="n">
        <v>999999999</v>
      </c>
      <c r="U184" s="25" t="n">
        <f aca="false">W184</f>
        <v>999999999</v>
      </c>
      <c r="V184" s="24" t="n">
        <v>0</v>
      </c>
      <c r="W184" s="25" t="n">
        <v>999999999</v>
      </c>
      <c r="X184" s="25" t="n">
        <f aca="false">Z184</f>
        <v>999999999</v>
      </c>
      <c r="Y184" s="24" t="n">
        <v>0</v>
      </c>
      <c r="Z184" s="25" t="n">
        <v>999999999</v>
      </c>
      <c r="AA184" s="25" t="n">
        <f aca="false">AC184</f>
        <v>999999999</v>
      </c>
      <c r="AB184" s="24" t="n">
        <v>0</v>
      </c>
      <c r="AC184" s="25" t="n">
        <v>999999999</v>
      </c>
      <c r="AD184" s="25" t="n">
        <f aca="false">AF184</f>
        <v>999999999</v>
      </c>
      <c r="AE184" s="24" t="n">
        <v>0</v>
      </c>
      <c r="AF184" s="25" t="n">
        <v>999999999</v>
      </c>
      <c r="AG184" s="25" t="n">
        <v>999999999</v>
      </c>
    </row>
    <row r="185" customFormat="false" ht="15" hidden="false" customHeight="false" outlineLevel="0" collapsed="false">
      <c r="A185" s="20" t="s">
        <v>285</v>
      </c>
      <c r="B185" s="20" t="s">
        <v>114</v>
      </c>
      <c r="C185" s="28" t="str">
        <f aca="false">A185&amp;"|"&amp;B185</f>
        <v>WI|Single</v>
      </c>
      <c r="D185" s="24" t="n">
        <v>0.035</v>
      </c>
      <c r="E185" s="25" t="n">
        <v>0</v>
      </c>
      <c r="F185" s="25" t="n">
        <f aca="false">H185</f>
        <v>14679</v>
      </c>
      <c r="G185" s="24" t="n">
        <v>0.044</v>
      </c>
      <c r="H185" s="25" t="n">
        <v>14679</v>
      </c>
      <c r="I185" s="25" t="n">
        <f aca="false">K185</f>
        <v>50479</v>
      </c>
      <c r="J185" s="24" t="n">
        <v>0.053</v>
      </c>
      <c r="K185" s="25" t="n">
        <v>50479</v>
      </c>
      <c r="L185" s="25" t="n">
        <f aca="false">N185</f>
        <v>323290</v>
      </c>
      <c r="M185" s="24" t="n">
        <v>0.0765</v>
      </c>
      <c r="N185" s="25" t="n">
        <v>323290</v>
      </c>
      <c r="O185" s="25" t="n">
        <f aca="false">Q185</f>
        <v>999999999</v>
      </c>
      <c r="P185" s="24" t="n">
        <v>0</v>
      </c>
      <c r="Q185" s="25" t="n">
        <v>999999999</v>
      </c>
      <c r="R185" s="25" t="n">
        <f aca="false">T185</f>
        <v>999999999</v>
      </c>
      <c r="S185" s="24" t="n">
        <v>0</v>
      </c>
      <c r="T185" s="25" t="n">
        <v>999999999</v>
      </c>
      <c r="U185" s="25" t="n">
        <f aca="false">W185</f>
        <v>999999999</v>
      </c>
      <c r="V185" s="24" t="n">
        <v>0</v>
      </c>
      <c r="W185" s="25" t="n">
        <v>999999999</v>
      </c>
      <c r="X185" s="25" t="n">
        <f aca="false">Z185</f>
        <v>999999999</v>
      </c>
      <c r="Y185" s="24" t="n">
        <v>0</v>
      </c>
      <c r="Z185" s="25" t="n">
        <v>999999999</v>
      </c>
      <c r="AA185" s="25" t="n">
        <f aca="false">AC185</f>
        <v>999999999</v>
      </c>
      <c r="AB185" s="24" t="n">
        <v>0</v>
      </c>
      <c r="AC185" s="25" t="n">
        <v>999999999</v>
      </c>
      <c r="AD185" s="25" t="n">
        <f aca="false">AF185</f>
        <v>999999999</v>
      </c>
      <c r="AE185" s="24" t="n">
        <v>0</v>
      </c>
      <c r="AF185" s="25" t="n">
        <v>999999999</v>
      </c>
      <c r="AG185" s="25" t="n">
        <v>999999999</v>
      </c>
    </row>
    <row r="186" customFormat="false" ht="15" hidden="false" customHeight="false" outlineLevel="0" collapsed="false">
      <c r="A186" s="20" t="s">
        <v>285</v>
      </c>
      <c r="B186" s="20" t="s">
        <v>115</v>
      </c>
      <c r="C186" s="28" t="str">
        <f aca="false">A186&amp;"|"&amp;B186</f>
        <v>WI|MFJ</v>
      </c>
      <c r="D186" s="24" t="n">
        <v>0.035</v>
      </c>
      <c r="E186" s="25" t="n">
        <v>0</v>
      </c>
      <c r="F186" s="25" t="n">
        <f aca="false">H186</f>
        <v>19570</v>
      </c>
      <c r="G186" s="24" t="n">
        <v>0.044</v>
      </c>
      <c r="H186" s="25" t="n">
        <v>19570</v>
      </c>
      <c r="I186" s="25" t="n">
        <f aca="false">K186</f>
        <v>67300</v>
      </c>
      <c r="J186" s="24" t="n">
        <v>0.053</v>
      </c>
      <c r="K186" s="25" t="n">
        <v>67300</v>
      </c>
      <c r="L186" s="25" t="n">
        <f aca="false">N186</f>
        <v>431060</v>
      </c>
      <c r="M186" s="24" t="n">
        <v>0.0765</v>
      </c>
      <c r="N186" s="25" t="n">
        <v>431060</v>
      </c>
      <c r="O186" s="25" t="n">
        <f aca="false">Q186</f>
        <v>999999999</v>
      </c>
      <c r="P186" s="24" t="n">
        <v>0</v>
      </c>
      <c r="Q186" s="25" t="n">
        <v>999999999</v>
      </c>
      <c r="R186" s="25" t="n">
        <f aca="false">T186</f>
        <v>999999999</v>
      </c>
      <c r="S186" s="24" t="n">
        <v>0</v>
      </c>
      <c r="T186" s="25" t="n">
        <v>999999999</v>
      </c>
      <c r="U186" s="25" t="n">
        <f aca="false">W186</f>
        <v>999999999</v>
      </c>
      <c r="V186" s="24" t="n">
        <v>0</v>
      </c>
      <c r="W186" s="25" t="n">
        <v>999999999</v>
      </c>
      <c r="X186" s="25" t="n">
        <f aca="false">Z186</f>
        <v>999999999</v>
      </c>
      <c r="Y186" s="24" t="n">
        <v>0</v>
      </c>
      <c r="Z186" s="25" t="n">
        <v>999999999</v>
      </c>
      <c r="AA186" s="25" t="n">
        <f aca="false">AC186</f>
        <v>999999999</v>
      </c>
      <c r="AB186" s="24" t="n">
        <v>0</v>
      </c>
      <c r="AC186" s="25" t="n">
        <v>999999999</v>
      </c>
      <c r="AD186" s="25" t="n">
        <f aca="false">AF186</f>
        <v>999999999</v>
      </c>
      <c r="AE186" s="24" t="n">
        <v>0</v>
      </c>
      <c r="AF186" s="25" t="n">
        <v>999999999</v>
      </c>
      <c r="AG186" s="25" t="n">
        <v>999999999</v>
      </c>
    </row>
    <row r="187" customFormat="false" ht="15" hidden="false" customHeight="false" outlineLevel="0" collapsed="false">
      <c r="A187" s="20" t="s">
        <v>288</v>
      </c>
      <c r="B187" s="20" t="s">
        <v>114</v>
      </c>
      <c r="C187" s="28" t="str">
        <f aca="false">A187&amp;"|"&amp;B187</f>
        <v>WY|Single</v>
      </c>
      <c r="D187" s="24" t="n">
        <v>0</v>
      </c>
      <c r="E187" s="25" t="n">
        <v>0</v>
      </c>
      <c r="F187" s="25" t="n">
        <f aca="false">H187</f>
        <v>999999999</v>
      </c>
      <c r="G187" s="24" t="n">
        <v>0</v>
      </c>
      <c r="H187" s="25" t="n">
        <v>999999999</v>
      </c>
      <c r="I187" s="25" t="n">
        <f aca="false">K187</f>
        <v>999999999</v>
      </c>
      <c r="J187" s="24" t="n">
        <v>0</v>
      </c>
      <c r="K187" s="25" t="n">
        <v>999999999</v>
      </c>
      <c r="L187" s="25" t="n">
        <f aca="false">N187</f>
        <v>999999999</v>
      </c>
      <c r="M187" s="24" t="n">
        <v>0</v>
      </c>
      <c r="N187" s="25" t="n">
        <v>999999999</v>
      </c>
      <c r="O187" s="25" t="n">
        <f aca="false">Q187</f>
        <v>999999999</v>
      </c>
      <c r="P187" s="24" t="n">
        <v>0</v>
      </c>
      <c r="Q187" s="25" t="n">
        <v>999999999</v>
      </c>
      <c r="R187" s="25" t="n">
        <f aca="false">T187</f>
        <v>999999999</v>
      </c>
      <c r="S187" s="24" t="n">
        <v>0</v>
      </c>
      <c r="T187" s="25" t="n">
        <v>999999999</v>
      </c>
      <c r="U187" s="25" t="n">
        <f aca="false">W187</f>
        <v>999999999</v>
      </c>
      <c r="V187" s="24" t="n">
        <v>0</v>
      </c>
      <c r="W187" s="25" t="n">
        <v>999999999</v>
      </c>
      <c r="X187" s="25" t="n">
        <f aca="false">Z187</f>
        <v>999999999</v>
      </c>
      <c r="Y187" s="24" t="n">
        <v>0</v>
      </c>
      <c r="Z187" s="25" t="n">
        <v>999999999</v>
      </c>
      <c r="AA187" s="25" t="n">
        <f aca="false">AC187</f>
        <v>999999999</v>
      </c>
      <c r="AB187" s="24" t="n">
        <v>0</v>
      </c>
      <c r="AC187" s="25" t="n">
        <v>999999999</v>
      </c>
      <c r="AD187" s="25" t="n">
        <f aca="false">AF187</f>
        <v>999999999</v>
      </c>
      <c r="AE187" s="24" t="n">
        <v>0</v>
      </c>
      <c r="AF187" s="25" t="n">
        <v>999999999</v>
      </c>
      <c r="AG187" s="25" t="n">
        <v>999999999</v>
      </c>
    </row>
    <row r="188" customFormat="false" ht="15" hidden="false" customHeight="false" outlineLevel="0" collapsed="false">
      <c r="A188" s="20" t="s">
        <v>288</v>
      </c>
      <c r="B188" s="20" t="s">
        <v>115</v>
      </c>
      <c r="C188" s="28" t="str">
        <f aca="false">A188&amp;"|"&amp;B188</f>
        <v>WY|MFJ</v>
      </c>
      <c r="D188" s="24" t="n">
        <v>0</v>
      </c>
      <c r="E188" s="25" t="n">
        <v>0</v>
      </c>
      <c r="F188" s="25" t="n">
        <f aca="false">H188</f>
        <v>999999999</v>
      </c>
      <c r="G188" s="24" t="n">
        <v>0</v>
      </c>
      <c r="H188" s="25" t="n">
        <v>999999999</v>
      </c>
      <c r="I188" s="25" t="n">
        <f aca="false">K188</f>
        <v>999999999</v>
      </c>
      <c r="J188" s="24" t="n">
        <v>0</v>
      </c>
      <c r="K188" s="25" t="n">
        <v>999999999</v>
      </c>
      <c r="L188" s="25" t="n">
        <f aca="false">N188</f>
        <v>999999999</v>
      </c>
      <c r="M188" s="24" t="n">
        <v>0</v>
      </c>
      <c r="N188" s="25" t="n">
        <v>999999999</v>
      </c>
      <c r="O188" s="25" t="n">
        <f aca="false">Q188</f>
        <v>999999999</v>
      </c>
      <c r="P188" s="24" t="n">
        <v>0</v>
      </c>
      <c r="Q188" s="25" t="n">
        <v>999999999</v>
      </c>
      <c r="R188" s="25" t="n">
        <f aca="false">T188</f>
        <v>999999999</v>
      </c>
      <c r="S188" s="24" t="n">
        <v>0</v>
      </c>
      <c r="T188" s="25" t="n">
        <v>999999999</v>
      </c>
      <c r="U188" s="25" t="n">
        <f aca="false">W188</f>
        <v>999999999</v>
      </c>
      <c r="V188" s="24" t="n">
        <v>0</v>
      </c>
      <c r="W188" s="25" t="n">
        <v>999999999</v>
      </c>
      <c r="X188" s="25" t="n">
        <f aca="false">Z188</f>
        <v>999999999</v>
      </c>
      <c r="Y188" s="24" t="n">
        <v>0</v>
      </c>
      <c r="Z188" s="25" t="n">
        <v>999999999</v>
      </c>
      <c r="AA188" s="25" t="n">
        <f aca="false">AC188</f>
        <v>999999999</v>
      </c>
      <c r="AB188" s="24" t="n">
        <v>0</v>
      </c>
      <c r="AC188" s="25" t="n">
        <v>999999999</v>
      </c>
      <c r="AD188" s="25" t="n">
        <f aca="false">AF188</f>
        <v>999999999</v>
      </c>
      <c r="AE188" s="24" t="n">
        <v>0</v>
      </c>
      <c r="AF188" s="25" t="n">
        <v>999999999</v>
      </c>
      <c r="AG188" s="25" t="n">
        <v>999999999</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2026-09-08T19:19:01Z</dcterms:created>
  <dc:creator>openpyxl</dc:creator>
  <dc:description/>
  <dc:language>en-US</dc:language>
  <cp:lastModifiedBy/>
  <dcterms:modified xsi:type="dcterms:W3CDTF">2026-09-08T19:19:01Z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