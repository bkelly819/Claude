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Participant" sheetId="1" state="visible" r:id="rId3"/>
    <sheet name="Fund Summary" sheetId="2" state="visible" r:id="rId4"/>
    <sheet name="Original Report" sheetId="3" state="visible" r:id="rId5"/>
  </sheets>
  <definedNames>
    <definedName function="false" hidden="false" localSheetId="0" name="_xlnm.Print_Area" vbProcedure="false">'By Participant'!$A$1:$E$59</definedName>
    <definedName function="false" hidden="false" localSheetId="0" name="_xlnm.Print_Titles" vbProcedure="false">'By Participant'!$4:$4</definedName>
    <definedName function="false" hidden="false" localSheetId="1" name="_xlnm.Print_Titles" vbProcedure="false">'Fund Summary'!$3:$3</definedName>
    <definedName function="false" hidden="false" localSheetId="2" name="_xlnm.Print_Titles" vbProcedure="false">'Original Report'!$1:$2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<sst xmlns="http://schemas.openxmlformats.org/spreadsheetml/2006/main" count="267" uniqueCount="81">
  <si>
    <t xml:space="preserve">Participant Balances Report - Trident Abstract (09-20-26)</t>
  </si>
  <si>
    <t xml:space="preserve">Market value by participant; only funds with a balance are listed.</t>
  </si>
  <si>
    <t xml:space="preserve">Participant</t>
  </si>
  <si>
    <t xml:space="preserve">Status</t>
  </si>
  <si>
    <t xml:space="preserve">Fund</t>
  </si>
  <si>
    <t xml:space="preserve">Balance</t>
  </si>
  <si>
    <t xml:space="preserve">Participant Total</t>
  </si>
  <si>
    <t xml:space="preserve">ACCOUNT, FORFEITURE</t>
  </si>
  <si>
    <t xml:space="preserve">A-ACTIVE</t>
  </si>
  <si>
    <t xml:space="preserve">OV6J-AS TREA PL MMKT SVC</t>
  </si>
  <si>
    <t xml:space="preserve">ACCOUNT, RCP</t>
  </si>
  <si>
    <t xml:space="preserve">BAKER, CHARLES</t>
  </si>
  <si>
    <t xml:space="preserve">T-TERMINATED</t>
  </si>
  <si>
    <t xml:space="preserve">3005-FA FREEDOM 2015 K6</t>
  </si>
  <si>
    <t xml:space="preserve">BETZ, LISA</t>
  </si>
  <si>
    <t xml:space="preserve">2328-FID 500 INDEX</t>
  </si>
  <si>
    <t xml:space="preserve">2352-FID MID CAP IDX</t>
  </si>
  <si>
    <t xml:space="preserve">OEM4-JPMORGAN INCOME R6</t>
  </si>
  <si>
    <t xml:space="preserve">OQTF-HARBOR SCG INST</t>
  </si>
  <si>
    <t xml:space="preserve">OUBE-AF EUPAC FUND R6</t>
  </si>
  <si>
    <t xml:space="preserve">OUFP-AF NEW WORLD R6</t>
  </si>
  <si>
    <t xml:space="preserve">BOUFORD, LAURIE</t>
  </si>
  <si>
    <t xml:space="preserve">3008-FA FREEDOM 2030 K6</t>
  </si>
  <si>
    <t xml:space="preserve">CALLAHAN, TAYLOR</t>
  </si>
  <si>
    <t xml:space="preserve">3014-FA FREEDOM 2060 K6</t>
  </si>
  <si>
    <t xml:space="preserve">CARTON, ANDREW P</t>
  </si>
  <si>
    <t xml:space="preserve">3007-FA FREEDOM 2025 K6</t>
  </si>
  <si>
    <t xml:space="preserve">3015-FA FREEDOM RETIRE K6</t>
  </si>
  <si>
    <t xml:space="preserve">CARTON, CHRISTOPHER M</t>
  </si>
  <si>
    <t xml:space="preserve">CARTON, KATHLEEN</t>
  </si>
  <si>
    <t xml:space="preserve">CARTON, RACHEL</t>
  </si>
  <si>
    <t xml:space="preserve">CASLER, SANDRA J</t>
  </si>
  <si>
    <t xml:space="preserve">R-RETIRED</t>
  </si>
  <si>
    <t xml:space="preserve">CAVAZZONI, TINA</t>
  </si>
  <si>
    <t xml:space="preserve">3010-FA FREEDOM 2040 K6</t>
  </si>
  <si>
    <t xml:space="preserve">CONFORTI, JOHN N</t>
  </si>
  <si>
    <t xml:space="preserve">CONWAY, CHRISTOPHER W</t>
  </si>
  <si>
    <t xml:space="preserve">COSTA, JENNIFER A</t>
  </si>
  <si>
    <t xml:space="preserve">COSTELLO, HEATHER</t>
  </si>
  <si>
    <t xml:space="preserve">DEROGATIS, ROSAMARIE</t>
  </si>
  <si>
    <t xml:space="preserve">DICECILIA, LISA</t>
  </si>
  <si>
    <t xml:space="preserve">E-ELIGIBLE</t>
  </si>
  <si>
    <t xml:space="preserve">DIMAGGIO, GINA</t>
  </si>
  <si>
    <t xml:space="preserve">FURRULE, LISA</t>
  </si>
  <si>
    <t xml:space="preserve">GARCIA, PAULA</t>
  </si>
  <si>
    <t xml:space="preserve">OYQA-JPM LG CAP GROWTH R6</t>
  </si>
  <si>
    <t xml:space="preserve">GASSARO, KOREN E</t>
  </si>
  <si>
    <t xml:space="preserve">GAWRON, JOSEPH W</t>
  </si>
  <si>
    <t xml:space="preserve">OIWD-BLKRK EQUITY DIV K</t>
  </si>
  <si>
    <t xml:space="preserve">GRABAS, JOSEPH</t>
  </si>
  <si>
    <t xml:space="preserve">3011-FA FREEDOM 2045 K6</t>
  </si>
  <si>
    <t xml:space="preserve">GRABAS, PATRICIA</t>
  </si>
  <si>
    <t xml:space="preserve">GUTMAN, NANCY A</t>
  </si>
  <si>
    <t xml:space="preserve">3006-FA FREEDOM 2020 K6</t>
  </si>
  <si>
    <t xml:space="preserve">ILLES, KIMBERLY</t>
  </si>
  <si>
    <t xml:space="preserve">LAYTON, ROBERT G</t>
  </si>
  <si>
    <t xml:space="preserve">LOCASCIO, NICOLE</t>
  </si>
  <si>
    <t xml:space="preserve">OSTOLAZA, PILAR</t>
  </si>
  <si>
    <t xml:space="preserve">3012-FA FREEDOM 2050 K6</t>
  </si>
  <si>
    <t xml:space="preserve">PIKE, BRIELLE</t>
  </si>
  <si>
    <t xml:space="preserve">3013-FA FREEDOM 2055 K6</t>
  </si>
  <si>
    <t xml:space="preserve">QUARANTELLO, ALYSE</t>
  </si>
  <si>
    <t xml:space="preserve">3009-FA FREEDOM 2035 K6</t>
  </si>
  <si>
    <t xml:space="preserve">RIBECCA, CHRISTOPHER J</t>
  </si>
  <si>
    <t xml:space="preserve">SCENNA, DERRICK A</t>
  </si>
  <si>
    <t xml:space="preserve">TORRES, BETH</t>
  </si>
  <si>
    <t xml:space="preserve">VACCARO, DEBRA</t>
  </si>
  <si>
    <t xml:space="preserve">WARD, CYNTHIA M</t>
  </si>
  <si>
    <t xml:space="preserve">ZAPPOLA, SALLY A</t>
  </si>
  <si>
    <t xml:space="preserve">3286-FA STRAT INCOME Z</t>
  </si>
  <si>
    <t xml:space="preserve">GRAND TOTAL</t>
  </si>
  <si>
    <t xml:space="preserve">38 participants / 53 fund holdings</t>
  </si>
  <si>
    <t xml:space="preserve">Check vs. Original Report total (should be 0):</t>
  </si>
  <si>
    <t xml:space="preserve">Fund Summary - Trident Abstract (09-20-26)</t>
  </si>
  <si>
    <t xml:space="preserve"># Participants</t>
  </si>
  <si>
    <t xml:space="preserve">Total Balance</t>
  </si>
  <si>
    <t xml:space="preserve">% of Plan</t>
  </si>
  <si>
    <t xml:space="preserve">TOTAL</t>
  </si>
  <si>
    <t xml:space="preserve">Market Value</t>
  </si>
  <si>
    <t xml:space="preserve">Full Name</t>
  </si>
  <si>
    <t xml:space="preserve">Totals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</si>
</sst>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%"/>
    <numFmt numFmtId="167" formatCode="0"/>
    <numFmt numFmtId="168" formatCode="[$$]#,##0.00;\-[$$]#,##0.00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8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sz val="6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8"/>
        <bgColor rgb="FFF0F4FA"/>
      </patternFill>
    </fill>
    <fill>
      <patternFill patternType="solid">
        <fgColor rgb="FFD9E1F2"/>
        <bgColor rgb="FFEEF2F8"/>
      </patternFill>
    </fill>
    <fill>
      <patternFill patternType="solid">
        <fgColor rgb="FFFFFFFF"/>
        <bgColor rgb="FFF0F4FA"/>
      </patternFill>
    </fill>
    <fill>
      <patternFill patternType="solid">
        <fgColor rgb="FFF0F4FA"/>
        <bgColor rgb="FFEEF2F8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>
        <color rgb="FFA6A6A6"/>
      </top>
      <bottom style="thin">
        <color rgb="FFA6A6A6"/>
      </bottom>
      <diagonal/>
    </border>
    <border diagonalUp="false" diagonalDown="false">
      <left/>
      <right/>
      <top style="thin">
        <color rgb="FFA6A6A6"/>
      </top>
      <bottom/>
      <diagonal/>
    </border>
    <border diagonalUp="false" diagonalDown="false">
      <left/>
      <right/>
      <top/>
      <bottom style="thin">
        <color rgb="FFA6A6A6"/>
      </bottom>
      <diagonal/>
    </border>
    <border diagonalUp="false" diagonalDown="false">
      <left/>
      <right/>
      <top style="medium">
        <color rgb="FF1F3864"/>
      </top>
      <bottom style="medium">
        <color rgb="FF1F3864"/>
      </bottom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 diagonalUp="false" diagonalDown="false">
      <left style="thin">
        <color rgb="FF979991"/>
      </left>
      <right/>
      <top style="thin">
        <color rgb="FF979991"/>
      </top>
      <bottom/>
      <diagonal/>
    </border>
    <border diagonalUp="false" diagonalDown="false">
      <left style="thin">
        <color rgb="FF979991"/>
      </left>
      <right/>
      <top style="thin">
        <color rgb="FF979991"/>
      </top>
      <bottom style="thin">
        <color rgb="FF979991"/>
      </bottom>
      <diagonal/>
    </border>
    <border diagonalUp="false" diagonalDown="false">
      <left style="thin">
        <color rgb="FF979991"/>
      </left>
      <right style="thin">
        <color rgb="FF97999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8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8" fontId="11" fillId="5" borderId="8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5" borderId="6" xfId="0" applyFont="false" applyBorder="true" applyAlignment="true" applyProtection="false">
      <alignment horizontal="right" vertical="top" textRotation="0" wrapText="true" indent="0" shrinkToFit="false"/>
      <protection locked="true" hidden="false"/>
    </xf>
    <xf numFmtId="168" fontId="11" fillId="5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0" fillId="5" borderId="6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0F4FA"/>
      <rgbColor rgb="FFEEF2F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79991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s">
        <v>8</v>
      </c>
      <c r="C5" s="6" t="s">
        <v>9</v>
      </c>
      <c r="D5" s="7" t="n">
        <v>1283.97</v>
      </c>
      <c r="E5" s="8" t="n">
        <f aca="false">SUM(D5:D5)</f>
        <v>1283.97</v>
      </c>
    </row>
    <row r="6" customFormat="false" ht="15" hidden="false" customHeight="false" outlineLevel="0" collapsed="false">
      <c r="A6" s="9" t="s">
        <v>10</v>
      </c>
      <c r="B6" s="10" t="s">
        <v>8</v>
      </c>
      <c r="C6" s="10" t="s">
        <v>9</v>
      </c>
      <c r="D6" s="11" t="n">
        <v>1.63</v>
      </c>
      <c r="E6" s="12" t="n">
        <f aca="false">SUM(D6:D6)</f>
        <v>1.63</v>
      </c>
    </row>
    <row r="7" customFormat="false" ht="15" hidden="false" customHeight="false" outlineLevel="0" collapsed="false">
      <c r="A7" s="5" t="s">
        <v>11</v>
      </c>
      <c r="B7" s="6" t="s">
        <v>12</v>
      </c>
      <c r="C7" s="6" t="s">
        <v>13</v>
      </c>
      <c r="D7" s="7" t="n">
        <v>291.83668</v>
      </c>
      <c r="E7" s="8" t="n">
        <f aca="false">SUM(D7:D7)</f>
        <v>291.83668</v>
      </c>
    </row>
    <row r="8" customFormat="false" ht="15" hidden="false" customHeight="false" outlineLevel="0" collapsed="false">
      <c r="A8" s="13" t="s">
        <v>14</v>
      </c>
      <c r="B8" s="14" t="s">
        <v>8</v>
      </c>
      <c r="C8" s="14" t="s">
        <v>15</v>
      </c>
      <c r="D8" s="15" t="n">
        <v>97614.09054</v>
      </c>
      <c r="E8" s="16" t="n">
        <f aca="false">SUM(D8:D13)</f>
        <v>178110.40696</v>
      </c>
    </row>
    <row r="9" customFormat="false" ht="15" hidden="false" customHeight="false" outlineLevel="0" collapsed="false">
      <c r="A9" s="17"/>
      <c r="B9" s="17"/>
      <c r="C9" s="18" t="s">
        <v>16</v>
      </c>
      <c r="D9" s="19" t="n">
        <v>17256.06531</v>
      </c>
      <c r="E9" s="17"/>
    </row>
    <row r="10" customFormat="false" ht="15" hidden="false" customHeight="false" outlineLevel="0" collapsed="false">
      <c r="A10" s="17"/>
      <c r="B10" s="17"/>
      <c r="C10" s="18" t="s">
        <v>17</v>
      </c>
      <c r="D10" s="19" t="n">
        <v>13307.68725</v>
      </c>
      <c r="E10" s="17"/>
    </row>
    <row r="11" customFormat="false" ht="15" hidden="false" customHeight="false" outlineLevel="0" collapsed="false">
      <c r="A11" s="17"/>
      <c r="B11" s="17"/>
      <c r="C11" s="18" t="s">
        <v>18</v>
      </c>
      <c r="D11" s="19" t="n">
        <v>15904.98546</v>
      </c>
      <c r="E11" s="17"/>
    </row>
    <row r="12" customFormat="false" ht="15" hidden="false" customHeight="false" outlineLevel="0" collapsed="false">
      <c r="A12" s="17"/>
      <c r="B12" s="17"/>
      <c r="C12" s="18" t="s">
        <v>19</v>
      </c>
      <c r="D12" s="19" t="n">
        <v>17055.2152</v>
      </c>
      <c r="E12" s="17"/>
    </row>
    <row r="13" customFormat="false" ht="15" hidden="false" customHeight="false" outlineLevel="0" collapsed="false">
      <c r="A13" s="20"/>
      <c r="B13" s="20"/>
      <c r="C13" s="21" t="s">
        <v>20</v>
      </c>
      <c r="D13" s="22" t="n">
        <v>16972.3632</v>
      </c>
      <c r="E13" s="20"/>
    </row>
    <row r="14" customFormat="false" ht="15" hidden="false" customHeight="false" outlineLevel="0" collapsed="false">
      <c r="A14" s="5" t="s">
        <v>21</v>
      </c>
      <c r="B14" s="6" t="s">
        <v>12</v>
      </c>
      <c r="C14" s="6" t="s">
        <v>22</v>
      </c>
      <c r="D14" s="7" t="n">
        <v>532.0123</v>
      </c>
      <c r="E14" s="8" t="n">
        <f aca="false">SUM(D14:D14)</f>
        <v>532.0123</v>
      </c>
    </row>
    <row r="15" customFormat="false" ht="15" hidden="false" customHeight="false" outlineLevel="0" collapsed="false">
      <c r="A15" s="9" t="s">
        <v>23</v>
      </c>
      <c r="B15" s="10" t="s">
        <v>8</v>
      </c>
      <c r="C15" s="10" t="s">
        <v>24</v>
      </c>
      <c r="D15" s="11" t="n">
        <v>49487.2586</v>
      </c>
      <c r="E15" s="12" t="n">
        <f aca="false">SUM(D15:D15)</f>
        <v>49487.2586</v>
      </c>
    </row>
    <row r="16" customFormat="false" ht="15" hidden="false" customHeight="false" outlineLevel="0" collapsed="false">
      <c r="A16" s="23" t="s">
        <v>25</v>
      </c>
      <c r="B16" s="24" t="s">
        <v>8</v>
      </c>
      <c r="C16" s="24" t="s">
        <v>26</v>
      </c>
      <c r="D16" s="25" t="n">
        <v>133490.898</v>
      </c>
      <c r="E16" s="26" t="n">
        <f aca="false">SUM(D16:D18)</f>
        <v>767978.95679</v>
      </c>
    </row>
    <row r="17" customFormat="false" ht="15" hidden="false" customHeight="false" outlineLevel="0" collapsed="false">
      <c r="A17" s="27"/>
      <c r="B17" s="27"/>
      <c r="C17" s="28" t="s">
        <v>27</v>
      </c>
      <c r="D17" s="29" t="n">
        <v>113825.85879</v>
      </c>
      <c r="E17" s="27"/>
    </row>
    <row r="18" customFormat="false" ht="15" hidden="false" customHeight="false" outlineLevel="0" collapsed="false">
      <c r="A18" s="30"/>
      <c r="B18" s="30"/>
      <c r="C18" s="31" t="s">
        <v>9</v>
      </c>
      <c r="D18" s="32" t="n">
        <v>520662.2</v>
      </c>
      <c r="E18" s="30"/>
    </row>
    <row r="19" customFormat="false" ht="15" hidden="false" customHeight="false" outlineLevel="0" collapsed="false">
      <c r="A19" s="9" t="s">
        <v>28</v>
      </c>
      <c r="B19" s="10" t="s">
        <v>8</v>
      </c>
      <c r="C19" s="10" t="s">
        <v>22</v>
      </c>
      <c r="D19" s="11" t="n">
        <v>1422238.43981</v>
      </c>
      <c r="E19" s="12" t="n">
        <f aca="false">SUM(D19:D19)</f>
        <v>1422238.43981</v>
      </c>
    </row>
    <row r="20" customFormat="false" ht="15" hidden="false" customHeight="false" outlineLevel="0" collapsed="false">
      <c r="A20" s="5" t="s">
        <v>29</v>
      </c>
      <c r="B20" s="6" t="s">
        <v>8</v>
      </c>
      <c r="C20" s="6" t="s">
        <v>22</v>
      </c>
      <c r="D20" s="7" t="n">
        <v>371297.41994</v>
      </c>
      <c r="E20" s="8" t="n">
        <f aca="false">SUM(D20:D20)</f>
        <v>371297.41994</v>
      </c>
    </row>
    <row r="21" customFormat="false" ht="15" hidden="false" customHeight="false" outlineLevel="0" collapsed="false">
      <c r="A21" s="9" t="s">
        <v>30</v>
      </c>
      <c r="B21" s="10" t="s">
        <v>8</v>
      </c>
      <c r="C21" s="10" t="s">
        <v>24</v>
      </c>
      <c r="D21" s="11" t="n">
        <v>35305.41014</v>
      </c>
      <c r="E21" s="12" t="n">
        <f aca="false">SUM(D21:D21)</f>
        <v>35305.41014</v>
      </c>
    </row>
    <row r="22" customFormat="false" ht="15" hidden="false" customHeight="false" outlineLevel="0" collapsed="false">
      <c r="A22" s="5" t="s">
        <v>31</v>
      </c>
      <c r="B22" s="6" t="s">
        <v>32</v>
      </c>
      <c r="C22" s="6" t="s">
        <v>13</v>
      </c>
      <c r="D22" s="7" t="n">
        <v>68333.24672</v>
      </c>
      <c r="E22" s="8" t="n">
        <f aca="false">SUM(D22:D22)</f>
        <v>68333.24672</v>
      </c>
    </row>
    <row r="23" customFormat="false" ht="15" hidden="false" customHeight="false" outlineLevel="0" collapsed="false">
      <c r="A23" s="9" t="s">
        <v>33</v>
      </c>
      <c r="B23" s="10" t="s">
        <v>8</v>
      </c>
      <c r="C23" s="10" t="s">
        <v>34</v>
      </c>
      <c r="D23" s="11" t="n">
        <v>10648.24488</v>
      </c>
      <c r="E23" s="12" t="n">
        <f aca="false">SUM(D23:D23)</f>
        <v>10648.24488</v>
      </c>
    </row>
    <row r="24" customFormat="false" ht="15" hidden="false" customHeight="false" outlineLevel="0" collapsed="false">
      <c r="A24" s="5" t="s">
        <v>35</v>
      </c>
      <c r="B24" s="6" t="s">
        <v>8</v>
      </c>
      <c r="C24" s="6" t="s">
        <v>22</v>
      </c>
      <c r="D24" s="7" t="n">
        <v>798248.20951</v>
      </c>
      <c r="E24" s="8" t="n">
        <f aca="false">SUM(D24:D24)</f>
        <v>798248.20951</v>
      </c>
    </row>
    <row r="25" customFormat="false" ht="15" hidden="false" customHeight="false" outlineLevel="0" collapsed="false">
      <c r="A25" s="9" t="s">
        <v>36</v>
      </c>
      <c r="B25" s="10" t="s">
        <v>8</v>
      </c>
      <c r="C25" s="10" t="s">
        <v>9</v>
      </c>
      <c r="D25" s="11" t="n">
        <v>61706.2</v>
      </c>
      <c r="E25" s="12" t="n">
        <f aca="false">SUM(D25:D25)</f>
        <v>61706.2</v>
      </c>
    </row>
    <row r="26" customFormat="false" ht="15" hidden="false" customHeight="false" outlineLevel="0" collapsed="false">
      <c r="A26" s="5" t="s">
        <v>37</v>
      </c>
      <c r="B26" s="6" t="s">
        <v>8</v>
      </c>
      <c r="C26" s="6" t="s">
        <v>15</v>
      </c>
      <c r="D26" s="7" t="n">
        <v>134068.10886</v>
      </c>
      <c r="E26" s="8" t="n">
        <f aca="false">SUM(D26:D26)</f>
        <v>134068.10886</v>
      </c>
    </row>
    <row r="27" customFormat="false" ht="15" hidden="false" customHeight="false" outlineLevel="0" collapsed="false">
      <c r="A27" s="9" t="s">
        <v>38</v>
      </c>
      <c r="B27" s="10" t="s">
        <v>8</v>
      </c>
      <c r="C27" s="10" t="s">
        <v>34</v>
      </c>
      <c r="D27" s="11" t="n">
        <v>20590.63048</v>
      </c>
      <c r="E27" s="12" t="n">
        <f aca="false">SUM(D27:D27)</f>
        <v>20590.63048</v>
      </c>
    </row>
    <row r="28" customFormat="false" ht="15" hidden="false" customHeight="false" outlineLevel="0" collapsed="false">
      <c r="A28" s="5" t="s">
        <v>39</v>
      </c>
      <c r="B28" s="6" t="s">
        <v>12</v>
      </c>
      <c r="C28" s="6" t="s">
        <v>13</v>
      </c>
      <c r="D28" s="7" t="n">
        <v>92092.34216</v>
      </c>
      <c r="E28" s="8" t="n">
        <f aca="false">SUM(D28:D28)</f>
        <v>92092.34216</v>
      </c>
    </row>
    <row r="29" customFormat="false" ht="15" hidden="false" customHeight="false" outlineLevel="0" collapsed="false">
      <c r="A29" s="9" t="s">
        <v>40</v>
      </c>
      <c r="B29" s="10" t="s">
        <v>41</v>
      </c>
      <c r="C29" s="10" t="s">
        <v>26</v>
      </c>
      <c r="D29" s="11" t="n">
        <v>1823.89275</v>
      </c>
      <c r="E29" s="12" t="n">
        <f aca="false">SUM(D29:D29)</f>
        <v>1823.89275</v>
      </c>
    </row>
    <row r="30" customFormat="false" ht="15" hidden="false" customHeight="false" outlineLevel="0" collapsed="false">
      <c r="A30" s="5" t="s">
        <v>42</v>
      </c>
      <c r="B30" s="6" t="s">
        <v>8</v>
      </c>
      <c r="C30" s="6" t="s">
        <v>22</v>
      </c>
      <c r="D30" s="7" t="n">
        <v>158925.97069</v>
      </c>
      <c r="E30" s="8" t="n">
        <f aca="false">SUM(D30:D30)</f>
        <v>158925.97069</v>
      </c>
    </row>
    <row r="31" customFormat="false" ht="15" hidden="false" customHeight="false" outlineLevel="0" collapsed="false">
      <c r="A31" s="9" t="s">
        <v>43</v>
      </c>
      <c r="B31" s="10" t="s">
        <v>8</v>
      </c>
      <c r="C31" s="10" t="s">
        <v>22</v>
      </c>
      <c r="D31" s="11" t="n">
        <v>4225.53531</v>
      </c>
      <c r="E31" s="12" t="n">
        <f aca="false">SUM(D31:D31)</f>
        <v>4225.53531</v>
      </c>
    </row>
    <row r="32" customFormat="false" ht="15" hidden="false" customHeight="false" outlineLevel="0" collapsed="false">
      <c r="A32" s="23" t="s">
        <v>44</v>
      </c>
      <c r="B32" s="24" t="s">
        <v>12</v>
      </c>
      <c r="C32" s="24" t="s">
        <v>34</v>
      </c>
      <c r="D32" s="25" t="n">
        <v>4269.80652</v>
      </c>
      <c r="E32" s="26" t="n">
        <f aca="false">SUM(D32:D33)</f>
        <v>14935.70116</v>
      </c>
    </row>
    <row r="33" customFormat="false" ht="15" hidden="false" customHeight="false" outlineLevel="0" collapsed="false">
      <c r="A33" s="30"/>
      <c r="B33" s="30"/>
      <c r="C33" s="31" t="s">
        <v>45</v>
      </c>
      <c r="D33" s="32" t="n">
        <v>10665.89464</v>
      </c>
      <c r="E33" s="30"/>
    </row>
    <row r="34" customFormat="false" ht="15" hidden="false" customHeight="false" outlineLevel="0" collapsed="false">
      <c r="A34" s="9" t="s">
        <v>46</v>
      </c>
      <c r="B34" s="10" t="s">
        <v>8</v>
      </c>
      <c r="C34" s="10" t="s">
        <v>34</v>
      </c>
      <c r="D34" s="11" t="n">
        <v>108163.4022</v>
      </c>
      <c r="E34" s="12" t="n">
        <f aca="false">SUM(D34:D34)</f>
        <v>108163.4022</v>
      </c>
    </row>
    <row r="35" customFormat="false" ht="15" hidden="false" customHeight="false" outlineLevel="0" collapsed="false">
      <c r="A35" s="23" t="s">
        <v>47</v>
      </c>
      <c r="B35" s="24" t="s">
        <v>8</v>
      </c>
      <c r="C35" s="24" t="s">
        <v>16</v>
      </c>
      <c r="D35" s="25" t="n">
        <v>69571.39629</v>
      </c>
      <c r="E35" s="26" t="n">
        <f aca="false">SUM(D35:D37)</f>
        <v>595347.89089</v>
      </c>
    </row>
    <row r="36" customFormat="false" ht="15" hidden="false" customHeight="false" outlineLevel="0" collapsed="false">
      <c r="A36" s="27"/>
      <c r="B36" s="27"/>
      <c r="C36" s="28" t="s">
        <v>34</v>
      </c>
      <c r="D36" s="29" t="n">
        <v>398061.47444</v>
      </c>
      <c r="E36" s="27"/>
    </row>
    <row r="37" customFormat="false" ht="15" hidden="false" customHeight="false" outlineLevel="0" collapsed="false">
      <c r="A37" s="30"/>
      <c r="B37" s="30"/>
      <c r="C37" s="31" t="s">
        <v>48</v>
      </c>
      <c r="D37" s="32" t="n">
        <v>127715.02016</v>
      </c>
      <c r="E37" s="30"/>
    </row>
    <row r="38" customFormat="false" ht="15" hidden="false" customHeight="false" outlineLevel="0" collapsed="false">
      <c r="A38" s="13" t="s">
        <v>49</v>
      </c>
      <c r="B38" s="14" t="s">
        <v>8</v>
      </c>
      <c r="C38" s="14" t="s">
        <v>26</v>
      </c>
      <c r="D38" s="15" t="n">
        <v>30102.66315</v>
      </c>
      <c r="E38" s="16" t="n">
        <f aca="false">SUM(D38:D39)</f>
        <v>113928.87221</v>
      </c>
    </row>
    <row r="39" customFormat="false" ht="15" hidden="false" customHeight="false" outlineLevel="0" collapsed="false">
      <c r="A39" s="20"/>
      <c r="B39" s="20"/>
      <c r="C39" s="21" t="s">
        <v>50</v>
      </c>
      <c r="D39" s="22" t="n">
        <v>83826.20906</v>
      </c>
      <c r="E39" s="20"/>
    </row>
    <row r="40" customFormat="false" ht="15" hidden="false" customHeight="false" outlineLevel="0" collapsed="false">
      <c r="A40" s="5" t="s">
        <v>51</v>
      </c>
      <c r="B40" s="6" t="s">
        <v>8</v>
      </c>
      <c r="C40" s="6" t="s">
        <v>26</v>
      </c>
      <c r="D40" s="7" t="n">
        <v>55974.7098</v>
      </c>
      <c r="E40" s="8" t="n">
        <f aca="false">SUM(D40:D40)</f>
        <v>55974.7098</v>
      </c>
    </row>
    <row r="41" customFormat="false" ht="15" hidden="false" customHeight="false" outlineLevel="0" collapsed="false">
      <c r="A41" s="9" t="s">
        <v>52</v>
      </c>
      <c r="B41" s="10" t="s">
        <v>8</v>
      </c>
      <c r="C41" s="10" t="s">
        <v>53</v>
      </c>
      <c r="D41" s="11" t="n">
        <v>234827.80219</v>
      </c>
      <c r="E41" s="12" t="n">
        <f aca="false">SUM(D41:D41)</f>
        <v>234827.80219</v>
      </c>
    </row>
    <row r="42" customFormat="false" ht="15" hidden="false" customHeight="false" outlineLevel="0" collapsed="false">
      <c r="A42" s="5" t="s">
        <v>54</v>
      </c>
      <c r="B42" s="6" t="s">
        <v>12</v>
      </c>
      <c r="C42" s="6" t="s">
        <v>34</v>
      </c>
      <c r="D42" s="7" t="n">
        <v>2538.03984</v>
      </c>
      <c r="E42" s="8" t="n">
        <f aca="false">SUM(D42:D42)</f>
        <v>2538.03984</v>
      </c>
    </row>
    <row r="43" customFormat="false" ht="15" hidden="false" customHeight="false" outlineLevel="0" collapsed="false">
      <c r="A43" s="13" t="s">
        <v>55</v>
      </c>
      <c r="B43" s="14" t="s">
        <v>8</v>
      </c>
      <c r="C43" s="14" t="s">
        <v>22</v>
      </c>
      <c r="D43" s="15" t="n">
        <v>15371.93746</v>
      </c>
      <c r="E43" s="16" t="n">
        <f aca="false">SUM(D43:D44)</f>
        <v>76507.42348</v>
      </c>
    </row>
    <row r="44" customFormat="false" ht="15" hidden="false" customHeight="false" outlineLevel="0" collapsed="false">
      <c r="A44" s="20"/>
      <c r="B44" s="20"/>
      <c r="C44" s="21" t="s">
        <v>18</v>
      </c>
      <c r="D44" s="22" t="n">
        <v>61135.48602</v>
      </c>
      <c r="E44" s="20"/>
    </row>
    <row r="45" customFormat="false" ht="15" hidden="false" customHeight="false" outlineLevel="0" collapsed="false">
      <c r="A45" s="5" t="s">
        <v>56</v>
      </c>
      <c r="B45" s="6" t="s">
        <v>8</v>
      </c>
      <c r="C45" s="6" t="s">
        <v>34</v>
      </c>
      <c r="D45" s="7" t="n">
        <v>15041.56584</v>
      </c>
      <c r="E45" s="8" t="n">
        <f aca="false">SUM(D45:D45)</f>
        <v>15041.56584</v>
      </c>
    </row>
    <row r="46" customFormat="false" ht="15" hidden="false" customHeight="false" outlineLevel="0" collapsed="false">
      <c r="A46" s="9" t="s">
        <v>57</v>
      </c>
      <c r="B46" s="10" t="s">
        <v>8</v>
      </c>
      <c r="C46" s="10" t="s">
        <v>58</v>
      </c>
      <c r="D46" s="11" t="n">
        <v>1323.5557</v>
      </c>
      <c r="E46" s="12" t="n">
        <f aca="false">SUM(D46:D46)</f>
        <v>1323.5557</v>
      </c>
    </row>
    <row r="47" customFormat="false" ht="15" hidden="false" customHeight="false" outlineLevel="0" collapsed="false">
      <c r="A47" s="5" t="s">
        <v>59</v>
      </c>
      <c r="B47" s="6" t="s">
        <v>8</v>
      </c>
      <c r="C47" s="6" t="s">
        <v>60</v>
      </c>
      <c r="D47" s="7" t="n">
        <v>34485.0168</v>
      </c>
      <c r="E47" s="8" t="n">
        <f aca="false">SUM(D47:D47)</f>
        <v>34485.0168</v>
      </c>
    </row>
    <row r="48" customFormat="false" ht="15" hidden="false" customHeight="false" outlineLevel="0" collapsed="false">
      <c r="A48" s="9" t="s">
        <v>61</v>
      </c>
      <c r="B48" s="10" t="s">
        <v>8</v>
      </c>
      <c r="C48" s="10" t="s">
        <v>62</v>
      </c>
      <c r="D48" s="11" t="n">
        <v>72395.22444</v>
      </c>
      <c r="E48" s="12" t="n">
        <f aca="false">SUM(D48:D48)</f>
        <v>72395.22444</v>
      </c>
    </row>
    <row r="49" customFormat="false" ht="15" hidden="false" customHeight="false" outlineLevel="0" collapsed="false">
      <c r="A49" s="5" t="s">
        <v>63</v>
      </c>
      <c r="B49" s="6" t="s">
        <v>8</v>
      </c>
      <c r="C49" s="6" t="s">
        <v>60</v>
      </c>
      <c r="D49" s="7" t="n">
        <v>104055.43776</v>
      </c>
      <c r="E49" s="8" t="n">
        <f aca="false">SUM(D49:D49)</f>
        <v>104055.43776</v>
      </c>
    </row>
    <row r="50" customFormat="false" ht="15" hidden="false" customHeight="false" outlineLevel="0" collapsed="false">
      <c r="A50" s="9" t="s">
        <v>64</v>
      </c>
      <c r="B50" s="10" t="s">
        <v>8</v>
      </c>
      <c r="C50" s="10" t="s">
        <v>62</v>
      </c>
      <c r="D50" s="11" t="n">
        <v>618877.08344</v>
      </c>
      <c r="E50" s="12" t="n">
        <f aca="false">SUM(D50:D50)</f>
        <v>618877.08344</v>
      </c>
    </row>
    <row r="51" customFormat="false" ht="15" hidden="false" customHeight="false" outlineLevel="0" collapsed="false">
      <c r="A51" s="5" t="s">
        <v>65</v>
      </c>
      <c r="B51" s="6" t="s">
        <v>8</v>
      </c>
      <c r="C51" s="6" t="s">
        <v>34</v>
      </c>
      <c r="D51" s="7" t="n">
        <v>128703.87544</v>
      </c>
      <c r="E51" s="8" t="n">
        <f aca="false">SUM(D51:D51)</f>
        <v>128703.87544</v>
      </c>
    </row>
    <row r="52" customFormat="false" ht="15" hidden="false" customHeight="false" outlineLevel="0" collapsed="false">
      <c r="A52" s="9" t="s">
        <v>66</v>
      </c>
      <c r="B52" s="10" t="s">
        <v>8</v>
      </c>
      <c r="C52" s="10" t="s">
        <v>22</v>
      </c>
      <c r="D52" s="11" t="n">
        <v>82624.37598</v>
      </c>
      <c r="E52" s="12" t="n">
        <f aca="false">SUM(D52:D52)</f>
        <v>82624.37598</v>
      </c>
    </row>
    <row r="53" customFormat="false" ht="15" hidden="false" customHeight="false" outlineLevel="0" collapsed="false">
      <c r="A53" s="5" t="s">
        <v>67</v>
      </c>
      <c r="B53" s="6" t="s">
        <v>8</v>
      </c>
      <c r="C53" s="6" t="s">
        <v>26</v>
      </c>
      <c r="D53" s="7" t="n">
        <v>242714.097</v>
      </c>
      <c r="E53" s="8" t="n">
        <f aca="false">SUM(D53:D53)</f>
        <v>242714.097</v>
      </c>
    </row>
    <row r="54" customFormat="false" ht="15" hidden="false" customHeight="false" outlineLevel="0" collapsed="false">
      <c r="A54" s="13" t="s">
        <v>68</v>
      </c>
      <c r="B54" s="14" t="s">
        <v>8</v>
      </c>
      <c r="C54" s="14" t="s">
        <v>53</v>
      </c>
      <c r="D54" s="15" t="n">
        <v>136438.80335</v>
      </c>
      <c r="E54" s="16" t="n">
        <f aca="false">SUM(D54:D57)</f>
        <v>178604.55311</v>
      </c>
    </row>
    <row r="55" customFormat="false" ht="15" hidden="false" customHeight="false" outlineLevel="0" collapsed="false">
      <c r="A55" s="17"/>
      <c r="B55" s="17"/>
      <c r="C55" s="18" t="s">
        <v>26</v>
      </c>
      <c r="D55" s="19" t="n">
        <v>9717.4026</v>
      </c>
      <c r="E55" s="17"/>
    </row>
    <row r="56" customFormat="false" ht="15" hidden="false" customHeight="false" outlineLevel="0" collapsed="false">
      <c r="A56" s="17"/>
      <c r="B56" s="17"/>
      <c r="C56" s="18" t="s">
        <v>69</v>
      </c>
      <c r="D56" s="19" t="n">
        <v>12847.584</v>
      </c>
      <c r="E56" s="17"/>
    </row>
    <row r="57" customFormat="false" ht="15" hidden="false" customHeight="false" outlineLevel="0" collapsed="false">
      <c r="A57" s="20"/>
      <c r="B57" s="20"/>
      <c r="C57" s="21" t="s">
        <v>48</v>
      </c>
      <c r="D57" s="22" t="n">
        <v>19600.76316</v>
      </c>
      <c r="E57" s="20"/>
    </row>
    <row r="58" customFormat="false" ht="15" hidden="false" customHeight="false" outlineLevel="0" collapsed="false">
      <c r="A58" s="33" t="s">
        <v>70</v>
      </c>
      <c r="B58" s="34"/>
      <c r="C58" s="35" t="s">
        <v>71</v>
      </c>
      <c r="D58" s="36" t="n">
        <f aca="false">SUM(D5:D57)</f>
        <v>6858238.34986</v>
      </c>
      <c r="E58" s="36" t="n">
        <f aca="false">SUM(E5:E57)</f>
        <v>6858238.34986</v>
      </c>
    </row>
    <row r="59" customFormat="false" ht="15" hidden="false" customHeight="false" outlineLevel="0" collapsed="false">
      <c r="A59" s="2" t="s">
        <v>72</v>
      </c>
      <c r="E59" s="37" t="n">
        <f aca="false">ROUND(E58-'Original Report'!X41,2)</f>
        <v>0</v>
      </c>
    </row>
  </sheetData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73</v>
      </c>
    </row>
    <row r="3" customFormat="false" ht="15" hidden="false" customHeight="false" outlineLevel="0" collapsed="false">
      <c r="A3" s="38" t="s">
        <v>4</v>
      </c>
      <c r="B3" s="39" t="s">
        <v>74</v>
      </c>
      <c r="C3" s="39" t="s">
        <v>75</v>
      </c>
      <c r="D3" s="39" t="s">
        <v>76</v>
      </c>
    </row>
    <row r="4" customFormat="false" ht="15" hidden="false" customHeight="false" outlineLevel="0" collapsed="false">
      <c r="A4" s="40" t="s">
        <v>15</v>
      </c>
      <c r="B4" s="40" t="n">
        <f aca="false">COUNTIF('By Participant'!$C$5:$C$57,A4)</f>
        <v>2</v>
      </c>
      <c r="C4" s="41" t="n">
        <f aca="false">SUMIF('By Participant'!$C$5:$C$57,A4,'By Participant'!$D$5:$D$57)</f>
        <v>231682.1994</v>
      </c>
      <c r="D4" s="42" t="n">
        <f aca="false">IF($C$25=0,0,C4/$C$25)</f>
        <v>0.0337815904874069</v>
      </c>
    </row>
    <row r="5" customFormat="false" ht="15" hidden="false" customHeight="false" outlineLevel="0" collapsed="false">
      <c r="A5" s="43" t="s">
        <v>16</v>
      </c>
      <c r="B5" s="43" t="n">
        <f aca="false">COUNTIF('By Participant'!$C$5:$C$57,A5)</f>
        <v>2</v>
      </c>
      <c r="C5" s="44" t="n">
        <f aca="false">SUMIF('By Participant'!$C$5:$C$57,A5,'By Participant'!$D$5:$D$57)</f>
        <v>86827.4616</v>
      </c>
      <c r="D5" s="45" t="n">
        <f aca="false">IF($C$25=0,0,C5/$C$25)</f>
        <v>0.0126603155461595</v>
      </c>
    </row>
    <row r="6" customFormat="false" ht="15" hidden="false" customHeight="false" outlineLevel="0" collapsed="false">
      <c r="A6" s="40" t="s">
        <v>13</v>
      </c>
      <c r="B6" s="40" t="n">
        <f aca="false">COUNTIF('By Participant'!$C$5:$C$57,A6)</f>
        <v>3</v>
      </c>
      <c r="C6" s="41" t="n">
        <f aca="false">SUMIF('By Participant'!$C$5:$C$57,A6,'By Participant'!$D$5:$D$57)</f>
        <v>160717.42556</v>
      </c>
      <c r="D6" s="42" t="n">
        <f aca="false">IF($C$25=0,0,C6/$C$25)</f>
        <v>0.0234342140592534</v>
      </c>
    </row>
    <row r="7" customFormat="false" ht="15" hidden="false" customHeight="false" outlineLevel="0" collapsed="false">
      <c r="A7" s="43" t="s">
        <v>53</v>
      </c>
      <c r="B7" s="43" t="n">
        <f aca="false">COUNTIF('By Participant'!$C$5:$C$57,A7)</f>
        <v>2</v>
      </c>
      <c r="C7" s="44" t="n">
        <f aca="false">SUMIF('By Participant'!$C$5:$C$57,A7,'By Participant'!$D$5:$D$57)</f>
        <v>371266.60554</v>
      </c>
      <c r="D7" s="45" t="n">
        <f aca="false">IF($C$25=0,0,C7/$C$25)</f>
        <v>0.0541343981647385</v>
      </c>
    </row>
    <row r="8" customFormat="false" ht="15" hidden="false" customHeight="false" outlineLevel="0" collapsed="false">
      <c r="A8" s="40" t="s">
        <v>26</v>
      </c>
      <c r="B8" s="40" t="n">
        <f aca="false">COUNTIF('By Participant'!$C$5:$C$57,A8)</f>
        <v>6</v>
      </c>
      <c r="C8" s="41" t="n">
        <f aca="false">SUMIF('By Participant'!$C$5:$C$57,A8,'By Participant'!$D$5:$D$57)</f>
        <v>473823.6633</v>
      </c>
      <c r="D8" s="42" t="n">
        <f aca="false">IF($C$25=0,0,C8/$C$25)</f>
        <v>0.0690882467375419</v>
      </c>
    </row>
    <row r="9" customFormat="false" ht="15" hidden="false" customHeight="false" outlineLevel="0" collapsed="false">
      <c r="A9" s="43" t="s">
        <v>22</v>
      </c>
      <c r="B9" s="43" t="n">
        <f aca="false">COUNTIF('By Participant'!$C$5:$C$57,A9)</f>
        <v>8</v>
      </c>
      <c r="C9" s="44" t="n">
        <f aca="false">SUMIF('By Participant'!$C$5:$C$57,A9,'By Participant'!$D$5:$D$57)</f>
        <v>2853463.901</v>
      </c>
      <c r="D9" s="45" t="n">
        <f aca="false">IF($C$25=0,0,C9/$C$25)</f>
        <v>0.416063682163839</v>
      </c>
    </row>
    <row r="10" customFormat="false" ht="15" hidden="false" customHeight="false" outlineLevel="0" collapsed="false">
      <c r="A10" s="40" t="s">
        <v>62</v>
      </c>
      <c r="B10" s="40" t="n">
        <f aca="false">COUNTIF('By Participant'!$C$5:$C$57,A10)</f>
        <v>2</v>
      </c>
      <c r="C10" s="41" t="n">
        <f aca="false">SUMIF('By Participant'!$C$5:$C$57,A10,'By Participant'!$D$5:$D$57)</f>
        <v>691272.30788</v>
      </c>
      <c r="D10" s="42" t="n">
        <f aca="false">IF($C$25=0,0,C10/$C$25)</f>
        <v>0.10079444204416</v>
      </c>
    </row>
    <row r="11" customFormat="false" ht="15" hidden="false" customHeight="false" outlineLevel="0" collapsed="false">
      <c r="A11" s="43" t="s">
        <v>34</v>
      </c>
      <c r="B11" s="43" t="n">
        <f aca="false">COUNTIF('By Participant'!$C$5:$C$57,A11)</f>
        <v>8</v>
      </c>
      <c r="C11" s="44" t="n">
        <f aca="false">SUMIF('By Participant'!$C$5:$C$57,A11,'By Participant'!$D$5:$D$57)</f>
        <v>688017.03964</v>
      </c>
      <c r="D11" s="45" t="n">
        <f aca="false">IF($C$25=0,0,C11/$C$25)</f>
        <v>0.10031979125573</v>
      </c>
    </row>
    <row r="12" customFormat="false" ht="15" hidden="false" customHeight="false" outlineLevel="0" collapsed="false">
      <c r="A12" s="40" t="s">
        <v>50</v>
      </c>
      <c r="B12" s="40" t="n">
        <f aca="false">COUNTIF('By Participant'!$C$5:$C$57,A12)</f>
        <v>1</v>
      </c>
      <c r="C12" s="41" t="n">
        <f aca="false">SUMIF('By Participant'!$C$5:$C$57,A12,'By Participant'!$D$5:$D$57)</f>
        <v>83826.20906</v>
      </c>
      <c r="D12" s="42" t="n">
        <f aca="false">IF($C$25=0,0,C12/$C$25)</f>
        <v>0.0122227027968066</v>
      </c>
    </row>
    <row r="13" customFormat="false" ht="15" hidden="false" customHeight="false" outlineLevel="0" collapsed="false">
      <c r="A13" s="43" t="s">
        <v>58</v>
      </c>
      <c r="B13" s="43" t="n">
        <f aca="false">COUNTIF('By Participant'!$C$5:$C$57,A13)</f>
        <v>1</v>
      </c>
      <c r="C13" s="44" t="n">
        <f aca="false">SUMIF('By Participant'!$C$5:$C$57,A13,'By Participant'!$D$5:$D$57)</f>
        <v>1323.5557</v>
      </c>
      <c r="D13" s="45" t="n">
        <f aca="false">IF($C$25=0,0,C13/$C$25)</f>
        <v>0.000192987707991662</v>
      </c>
    </row>
    <row r="14" customFormat="false" ht="15" hidden="false" customHeight="false" outlineLevel="0" collapsed="false">
      <c r="A14" s="40" t="s">
        <v>60</v>
      </c>
      <c r="B14" s="40" t="n">
        <f aca="false">COUNTIF('By Participant'!$C$5:$C$57,A14)</f>
        <v>2</v>
      </c>
      <c r="C14" s="41" t="n">
        <f aca="false">SUMIF('By Participant'!$C$5:$C$57,A14,'By Participant'!$D$5:$D$57)</f>
        <v>138540.45456</v>
      </c>
      <c r="D14" s="42" t="n">
        <f aca="false">IF($C$25=0,0,C14/$C$25)</f>
        <v>0.0202005890569301</v>
      </c>
    </row>
    <row r="15" customFormat="false" ht="15" hidden="false" customHeight="false" outlineLevel="0" collapsed="false">
      <c r="A15" s="43" t="s">
        <v>24</v>
      </c>
      <c r="B15" s="43" t="n">
        <f aca="false">COUNTIF('By Participant'!$C$5:$C$57,A15)</f>
        <v>2</v>
      </c>
      <c r="C15" s="44" t="n">
        <f aca="false">SUMIF('By Participant'!$C$5:$C$57,A15,'By Participant'!$D$5:$D$57)</f>
        <v>84792.66874</v>
      </c>
      <c r="D15" s="45" t="n">
        <f aca="false">IF($C$25=0,0,C15/$C$25)</f>
        <v>0.0123636223202611</v>
      </c>
    </row>
    <row r="16" customFormat="false" ht="15" hidden="false" customHeight="false" outlineLevel="0" collapsed="false">
      <c r="A16" s="40" t="s">
        <v>27</v>
      </c>
      <c r="B16" s="40" t="n">
        <f aca="false">COUNTIF('By Participant'!$C$5:$C$57,A16)</f>
        <v>1</v>
      </c>
      <c r="C16" s="41" t="n">
        <f aca="false">SUMIF('By Participant'!$C$5:$C$57,A16,'By Participant'!$D$5:$D$57)</f>
        <v>113825.85879</v>
      </c>
      <c r="D16" s="42" t="n">
        <f aca="false">IF($C$25=0,0,C16/$C$25)</f>
        <v>0.0165969528883935</v>
      </c>
    </row>
    <row r="17" customFormat="false" ht="15" hidden="false" customHeight="false" outlineLevel="0" collapsed="false">
      <c r="A17" s="43" t="s">
        <v>69</v>
      </c>
      <c r="B17" s="43" t="n">
        <f aca="false">COUNTIF('By Participant'!$C$5:$C$57,A17)</f>
        <v>1</v>
      </c>
      <c r="C17" s="44" t="n">
        <f aca="false">SUMIF('By Participant'!$C$5:$C$57,A17,'By Participant'!$D$5:$D$57)</f>
        <v>12847.584</v>
      </c>
      <c r="D17" s="45" t="n">
        <f aca="false">IF($C$25=0,0,C17/$C$25)</f>
        <v>0.0018733067217272</v>
      </c>
    </row>
    <row r="18" customFormat="false" ht="15" hidden="false" customHeight="false" outlineLevel="0" collapsed="false">
      <c r="A18" s="40" t="s">
        <v>17</v>
      </c>
      <c r="B18" s="40" t="n">
        <f aca="false">COUNTIF('By Participant'!$C$5:$C$57,A18)</f>
        <v>1</v>
      </c>
      <c r="C18" s="41" t="n">
        <f aca="false">SUMIF('By Participant'!$C$5:$C$57,A18,'By Participant'!$D$5:$D$57)</f>
        <v>13307.68725</v>
      </c>
      <c r="D18" s="42" t="n">
        <f aca="false">IF($C$25=0,0,C18/$C$25)</f>
        <v>0.0019403943944689</v>
      </c>
    </row>
    <row r="19" customFormat="false" ht="15" hidden="false" customHeight="false" outlineLevel="0" collapsed="false">
      <c r="A19" s="43" t="s">
        <v>48</v>
      </c>
      <c r="B19" s="43" t="n">
        <f aca="false">COUNTIF('By Participant'!$C$5:$C$57,A19)</f>
        <v>2</v>
      </c>
      <c r="C19" s="44" t="n">
        <f aca="false">SUMIF('By Participant'!$C$5:$C$57,A19,'By Participant'!$D$5:$D$57)</f>
        <v>147315.78332</v>
      </c>
      <c r="D19" s="45" t="n">
        <f aca="false">IF($C$25=0,0,C19/$C$25)</f>
        <v>0.0214801200840457</v>
      </c>
    </row>
    <row r="20" customFormat="false" ht="15" hidden="false" customHeight="false" outlineLevel="0" collapsed="false">
      <c r="A20" s="40" t="s">
        <v>18</v>
      </c>
      <c r="B20" s="40" t="n">
        <f aca="false">COUNTIF('By Participant'!$C$5:$C$57,A20)</f>
        <v>2</v>
      </c>
      <c r="C20" s="41" t="n">
        <f aca="false">SUMIF('By Participant'!$C$5:$C$57,A20,'By Participant'!$D$5:$D$57)</f>
        <v>77040.47148</v>
      </c>
      <c r="D20" s="42" t="n">
        <f aca="false">IF($C$25=0,0,C20/$C$25)</f>
        <v>0.011233274136874</v>
      </c>
    </row>
    <row r="21" customFormat="false" ht="15" hidden="false" customHeight="false" outlineLevel="0" collapsed="false">
      <c r="A21" s="43" t="s">
        <v>19</v>
      </c>
      <c r="B21" s="43" t="n">
        <f aca="false">COUNTIF('By Participant'!$C$5:$C$57,A21)</f>
        <v>1</v>
      </c>
      <c r="C21" s="44" t="n">
        <f aca="false">SUMIF('By Participant'!$C$5:$C$57,A21,'By Participant'!$D$5:$D$57)</f>
        <v>17055.2152</v>
      </c>
      <c r="D21" s="45" t="n">
        <f aca="false">IF($C$25=0,0,C21/$C$25)</f>
        <v>0.0024868215903211</v>
      </c>
    </row>
    <row r="22" customFormat="false" ht="15" hidden="false" customHeight="false" outlineLevel="0" collapsed="false">
      <c r="A22" s="40" t="s">
        <v>20</v>
      </c>
      <c r="B22" s="40" t="n">
        <f aca="false">COUNTIF('By Participant'!$C$5:$C$57,A22)</f>
        <v>1</v>
      </c>
      <c r="C22" s="41" t="n">
        <f aca="false">SUMIF('By Participant'!$C$5:$C$57,A22,'By Participant'!$D$5:$D$57)</f>
        <v>16972.3632</v>
      </c>
      <c r="D22" s="42" t="n">
        <f aca="false">IF($C$25=0,0,C22/$C$25)</f>
        <v>0.00247474093698515</v>
      </c>
    </row>
    <row r="23" customFormat="false" ht="15" hidden="false" customHeight="false" outlineLevel="0" collapsed="false">
      <c r="A23" s="43" t="s">
        <v>9</v>
      </c>
      <c r="B23" s="43" t="n">
        <f aca="false">COUNTIF('By Participant'!$C$5:$C$57,A23)</f>
        <v>4</v>
      </c>
      <c r="C23" s="44" t="n">
        <f aca="false">SUMIF('By Participant'!$C$5:$C$57,A23,'By Participant'!$D$5:$D$57)</f>
        <v>583654</v>
      </c>
      <c r="D23" s="45" t="n">
        <f aca="false">IF($C$25=0,0,C23/$C$25)</f>
        <v>0.0851026123949038</v>
      </c>
    </row>
    <row r="24" customFormat="false" ht="15" hidden="false" customHeight="false" outlineLevel="0" collapsed="false">
      <c r="A24" s="40" t="s">
        <v>45</v>
      </c>
      <c r="B24" s="40" t="n">
        <f aca="false">COUNTIF('By Participant'!$C$5:$C$57,A24)</f>
        <v>1</v>
      </c>
      <c r="C24" s="41" t="n">
        <f aca="false">SUMIF('By Participant'!$C$5:$C$57,A24,'By Participant'!$D$5:$D$57)</f>
        <v>10665.89464</v>
      </c>
      <c r="D24" s="42" t="n">
        <f aca="false">IF($C$25=0,0,C24/$C$25)</f>
        <v>0.00155519451146193</v>
      </c>
    </row>
    <row r="25" customFormat="false" ht="15" hidden="false" customHeight="false" outlineLevel="0" collapsed="false">
      <c r="A25" s="33" t="s">
        <v>77</v>
      </c>
      <c r="B25" s="46" t="n">
        <f aca="false">SUM(B4:B24)</f>
        <v>53</v>
      </c>
      <c r="C25" s="36" t="n">
        <f aca="false">SUM(C4:C24)</f>
        <v>6858238.34986</v>
      </c>
      <c r="D25" s="47" t="n">
        <f aca="false">SUM(D4:D24)</f>
        <v>1</v>
      </c>
    </row>
  </sheetData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.57"/>
    <col collapsed="false" customWidth="true" hidden="false" outlineLevel="0" max="2" min="2" style="0" width="10.43"/>
    <col collapsed="false" customWidth="true" hidden="false" outlineLevel="0" max="3" min="3" style="0" width="14.29"/>
    <col collapsed="false" customWidth="true" hidden="false" outlineLevel="0" max="4" min="4" style="0" width="15.86"/>
    <col collapsed="false" customWidth="true" hidden="false" outlineLevel="0" max="14" min="5" style="0" width="19.29"/>
    <col collapsed="false" customWidth="true" hidden="false" outlineLevel="0" max="15" min="15" style="0" width="20.14"/>
    <col collapsed="false" customWidth="true" hidden="false" outlineLevel="0" max="16" min="16" style="0" width="17.86"/>
    <col collapsed="false" customWidth="true" hidden="false" outlineLevel="0" max="17" min="17" style="0" width="21.14"/>
    <col collapsed="false" customWidth="true" hidden="false" outlineLevel="0" max="18" min="18" style="0" width="18.71"/>
    <col collapsed="false" customWidth="true" hidden="false" outlineLevel="0" max="19" min="19" style="0" width="16.72"/>
    <col collapsed="false" customWidth="true" hidden="false" outlineLevel="0" max="21" min="20" style="0" width="17.71"/>
    <col collapsed="false" customWidth="true" hidden="false" outlineLevel="0" max="22" min="22" style="0" width="19.86"/>
    <col collapsed="false" customWidth="true" hidden="false" outlineLevel="0" max="23" min="23" style="0" width="22"/>
    <col collapsed="false" customWidth="true" hidden="false" outlineLevel="0" max="24" min="24" style="0" width="10.86"/>
  </cols>
  <sheetData>
    <row r="1" customFormat="false" ht="15" hidden="false" customHeight="true" outlineLevel="0" collapsed="false">
      <c r="A1" s="48"/>
      <c r="B1" s="48"/>
      <c r="C1" s="49" t="s">
        <v>78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customFormat="false" ht="20.85" hidden="false" customHeight="false" outlineLevel="0" collapsed="false">
      <c r="A2" s="50" t="s">
        <v>79</v>
      </c>
      <c r="B2" s="50" t="s">
        <v>3</v>
      </c>
      <c r="C2" s="51" t="s">
        <v>15</v>
      </c>
      <c r="D2" s="51" t="s">
        <v>16</v>
      </c>
      <c r="E2" s="51" t="s">
        <v>13</v>
      </c>
      <c r="F2" s="51" t="s">
        <v>53</v>
      </c>
      <c r="G2" s="51" t="s">
        <v>26</v>
      </c>
      <c r="H2" s="51" t="s">
        <v>22</v>
      </c>
      <c r="I2" s="51" t="s">
        <v>62</v>
      </c>
      <c r="J2" s="51" t="s">
        <v>34</v>
      </c>
      <c r="K2" s="51" t="s">
        <v>50</v>
      </c>
      <c r="L2" s="51" t="s">
        <v>58</v>
      </c>
      <c r="M2" s="51" t="s">
        <v>60</v>
      </c>
      <c r="N2" s="51" t="s">
        <v>24</v>
      </c>
      <c r="O2" s="51" t="s">
        <v>27</v>
      </c>
      <c r="P2" s="51" t="s">
        <v>69</v>
      </c>
      <c r="Q2" s="51" t="s">
        <v>17</v>
      </c>
      <c r="R2" s="51" t="s">
        <v>48</v>
      </c>
      <c r="S2" s="51" t="s">
        <v>18</v>
      </c>
      <c r="T2" s="51" t="s">
        <v>19</v>
      </c>
      <c r="U2" s="51" t="s">
        <v>20</v>
      </c>
      <c r="V2" s="51" t="s">
        <v>9</v>
      </c>
      <c r="W2" s="49" t="s">
        <v>45</v>
      </c>
      <c r="X2" s="52" t="s">
        <v>80</v>
      </c>
    </row>
    <row r="3" customFormat="false" ht="15" hidden="false" customHeight="false" outlineLevel="0" collapsed="false">
      <c r="A3" s="53" t="s">
        <v>7</v>
      </c>
      <c r="B3" s="53" t="s">
        <v>8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5" t="n">
        <v>1283.97</v>
      </c>
      <c r="W3" s="56"/>
      <c r="X3" s="57" t="n">
        <f aca="false">SUM(C3:W3)</f>
        <v>1283.97</v>
      </c>
    </row>
    <row r="4" customFormat="false" ht="15" hidden="false" customHeight="false" outlineLevel="0" collapsed="false">
      <c r="A4" s="53" t="s">
        <v>10</v>
      </c>
      <c r="B4" s="53" t="s">
        <v>8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5" t="n">
        <v>1.63</v>
      </c>
      <c r="W4" s="56"/>
      <c r="X4" s="57" t="n">
        <f aca="false">SUM(C4:W4)</f>
        <v>1.63</v>
      </c>
    </row>
    <row r="5" customFormat="false" ht="15" hidden="false" customHeight="false" outlineLevel="0" collapsed="false">
      <c r="A5" s="53" t="s">
        <v>11</v>
      </c>
      <c r="B5" s="53" t="s">
        <v>12</v>
      </c>
      <c r="C5" s="54"/>
      <c r="D5" s="54"/>
      <c r="E5" s="55" t="n">
        <v>291.83668</v>
      </c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6"/>
      <c r="X5" s="57" t="n">
        <f aca="false">SUM(C5:W5)</f>
        <v>291.83668</v>
      </c>
    </row>
    <row r="6" customFormat="false" ht="15" hidden="false" customHeight="false" outlineLevel="0" collapsed="false">
      <c r="A6" s="53" t="s">
        <v>14</v>
      </c>
      <c r="B6" s="53" t="s">
        <v>8</v>
      </c>
      <c r="C6" s="55" t="n">
        <v>97614.09054</v>
      </c>
      <c r="D6" s="55" t="n">
        <v>17256.06531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5" t="n">
        <v>13307.68725</v>
      </c>
      <c r="R6" s="54"/>
      <c r="S6" s="55" t="n">
        <v>15904.98546</v>
      </c>
      <c r="T6" s="55" t="n">
        <v>17055.2152</v>
      </c>
      <c r="U6" s="55" t="n">
        <v>16972.3632</v>
      </c>
      <c r="V6" s="54"/>
      <c r="W6" s="56"/>
      <c r="X6" s="57" t="n">
        <f aca="false">SUM(C6:W6)</f>
        <v>178110.40696</v>
      </c>
    </row>
    <row r="7" customFormat="false" ht="15" hidden="false" customHeight="false" outlineLevel="0" collapsed="false">
      <c r="A7" s="53" t="s">
        <v>21</v>
      </c>
      <c r="B7" s="53" t="s">
        <v>12</v>
      </c>
      <c r="C7" s="54"/>
      <c r="D7" s="54"/>
      <c r="E7" s="54"/>
      <c r="F7" s="54"/>
      <c r="G7" s="54"/>
      <c r="H7" s="55" t="n">
        <v>532.0123</v>
      </c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6"/>
      <c r="X7" s="57" t="n">
        <f aca="false">SUM(C7:W7)</f>
        <v>532.0123</v>
      </c>
    </row>
    <row r="8" customFormat="false" ht="15" hidden="false" customHeight="false" outlineLevel="0" collapsed="false">
      <c r="A8" s="53" t="s">
        <v>23</v>
      </c>
      <c r="B8" s="53" t="s">
        <v>8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5" t="n">
        <v>49487.2586</v>
      </c>
      <c r="O8" s="54"/>
      <c r="P8" s="54"/>
      <c r="Q8" s="54"/>
      <c r="R8" s="54"/>
      <c r="S8" s="54"/>
      <c r="T8" s="54"/>
      <c r="U8" s="54"/>
      <c r="V8" s="54"/>
      <c r="W8" s="56"/>
      <c r="X8" s="57" t="n">
        <f aca="false">SUM(C8:W8)</f>
        <v>49487.2586</v>
      </c>
    </row>
    <row r="9" customFormat="false" ht="15" hidden="false" customHeight="false" outlineLevel="0" collapsed="false">
      <c r="A9" s="53" t="s">
        <v>25</v>
      </c>
      <c r="B9" s="53" t="s">
        <v>8</v>
      </c>
      <c r="C9" s="54"/>
      <c r="D9" s="54"/>
      <c r="E9" s="54"/>
      <c r="F9" s="54"/>
      <c r="G9" s="55" t="n">
        <v>133490.898</v>
      </c>
      <c r="H9" s="54"/>
      <c r="I9" s="54"/>
      <c r="J9" s="54"/>
      <c r="K9" s="54"/>
      <c r="L9" s="54"/>
      <c r="M9" s="54"/>
      <c r="N9" s="54"/>
      <c r="O9" s="55" t="n">
        <v>113825.85879</v>
      </c>
      <c r="P9" s="54"/>
      <c r="Q9" s="54"/>
      <c r="R9" s="54"/>
      <c r="S9" s="54"/>
      <c r="T9" s="54"/>
      <c r="U9" s="54"/>
      <c r="V9" s="55" t="n">
        <v>520662.2</v>
      </c>
      <c r="W9" s="56"/>
      <c r="X9" s="57" t="n">
        <f aca="false">SUM(C9:W9)</f>
        <v>767978.95679</v>
      </c>
    </row>
    <row r="10" customFormat="false" ht="15" hidden="false" customHeight="false" outlineLevel="0" collapsed="false">
      <c r="A10" s="53" t="s">
        <v>28</v>
      </c>
      <c r="B10" s="53" t="s">
        <v>8</v>
      </c>
      <c r="C10" s="54"/>
      <c r="D10" s="54"/>
      <c r="E10" s="54"/>
      <c r="F10" s="54"/>
      <c r="G10" s="54"/>
      <c r="H10" s="55" t="n">
        <v>1422238.43981</v>
      </c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6"/>
      <c r="X10" s="57" t="n">
        <f aca="false">SUM(C10:W10)</f>
        <v>1422238.43981</v>
      </c>
    </row>
    <row r="11" customFormat="false" ht="15" hidden="false" customHeight="false" outlineLevel="0" collapsed="false">
      <c r="A11" s="53" t="s">
        <v>29</v>
      </c>
      <c r="B11" s="53" t="s">
        <v>8</v>
      </c>
      <c r="C11" s="54"/>
      <c r="D11" s="54"/>
      <c r="E11" s="54"/>
      <c r="F11" s="54"/>
      <c r="G11" s="54"/>
      <c r="H11" s="55" t="n">
        <v>371297.41994</v>
      </c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6"/>
      <c r="X11" s="57" t="n">
        <f aca="false">SUM(C11:W11)</f>
        <v>371297.41994</v>
      </c>
    </row>
    <row r="12" customFormat="false" ht="15" hidden="false" customHeight="false" outlineLevel="0" collapsed="false">
      <c r="A12" s="53" t="s">
        <v>30</v>
      </c>
      <c r="B12" s="53" t="s">
        <v>8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n">
        <v>35305.41014</v>
      </c>
      <c r="O12" s="54"/>
      <c r="P12" s="54"/>
      <c r="Q12" s="54"/>
      <c r="R12" s="54"/>
      <c r="S12" s="54"/>
      <c r="T12" s="54"/>
      <c r="U12" s="54"/>
      <c r="V12" s="54"/>
      <c r="W12" s="56"/>
      <c r="X12" s="57" t="n">
        <f aca="false">SUM(C12:W12)</f>
        <v>35305.41014</v>
      </c>
    </row>
    <row r="13" customFormat="false" ht="15" hidden="false" customHeight="false" outlineLevel="0" collapsed="false">
      <c r="A13" s="53" t="s">
        <v>31</v>
      </c>
      <c r="B13" s="53" t="s">
        <v>32</v>
      </c>
      <c r="C13" s="54"/>
      <c r="D13" s="54"/>
      <c r="E13" s="55" t="n">
        <v>68333.24672</v>
      </c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6"/>
      <c r="X13" s="57" t="n">
        <f aca="false">SUM(C13:W13)</f>
        <v>68333.24672</v>
      </c>
    </row>
    <row r="14" customFormat="false" ht="15" hidden="false" customHeight="false" outlineLevel="0" collapsed="false">
      <c r="A14" s="53" t="s">
        <v>33</v>
      </c>
      <c r="B14" s="53" t="s">
        <v>8</v>
      </c>
      <c r="C14" s="54"/>
      <c r="D14" s="54"/>
      <c r="E14" s="54"/>
      <c r="F14" s="54"/>
      <c r="G14" s="54"/>
      <c r="H14" s="54"/>
      <c r="I14" s="54"/>
      <c r="J14" s="55" t="n">
        <v>10648.24488</v>
      </c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6"/>
      <c r="X14" s="57" t="n">
        <f aca="false">SUM(C14:W14)</f>
        <v>10648.24488</v>
      </c>
    </row>
    <row r="15" customFormat="false" ht="15" hidden="false" customHeight="false" outlineLevel="0" collapsed="false">
      <c r="A15" s="53" t="s">
        <v>35</v>
      </c>
      <c r="B15" s="53" t="s">
        <v>8</v>
      </c>
      <c r="C15" s="54"/>
      <c r="D15" s="54"/>
      <c r="E15" s="54"/>
      <c r="F15" s="54"/>
      <c r="G15" s="54"/>
      <c r="H15" s="55" t="n">
        <v>798248.20951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6"/>
      <c r="X15" s="57" t="n">
        <f aca="false">SUM(C15:W15)</f>
        <v>798248.20951</v>
      </c>
    </row>
    <row r="16" customFormat="false" ht="15" hidden="false" customHeight="false" outlineLevel="0" collapsed="false">
      <c r="A16" s="53" t="s">
        <v>36</v>
      </c>
      <c r="B16" s="53" t="s">
        <v>8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5" t="n">
        <v>61706.2</v>
      </c>
      <c r="W16" s="56"/>
      <c r="X16" s="57" t="n">
        <f aca="false">SUM(C16:W16)</f>
        <v>61706.2</v>
      </c>
    </row>
    <row r="17" customFormat="false" ht="15" hidden="false" customHeight="false" outlineLevel="0" collapsed="false">
      <c r="A17" s="53" t="s">
        <v>37</v>
      </c>
      <c r="B17" s="53" t="s">
        <v>8</v>
      </c>
      <c r="C17" s="55" t="n">
        <v>134068.10886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6"/>
      <c r="X17" s="57" t="n">
        <f aca="false">SUM(C17:W17)</f>
        <v>134068.10886</v>
      </c>
    </row>
    <row r="18" customFormat="false" ht="15" hidden="false" customHeight="false" outlineLevel="0" collapsed="false">
      <c r="A18" s="53" t="s">
        <v>38</v>
      </c>
      <c r="B18" s="53" t="s">
        <v>8</v>
      </c>
      <c r="C18" s="54"/>
      <c r="D18" s="54"/>
      <c r="E18" s="54"/>
      <c r="F18" s="54"/>
      <c r="G18" s="54"/>
      <c r="H18" s="54"/>
      <c r="I18" s="54"/>
      <c r="J18" s="55" t="n">
        <v>20590.63048</v>
      </c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6"/>
      <c r="X18" s="57" t="n">
        <f aca="false">SUM(C18:W18)</f>
        <v>20590.63048</v>
      </c>
    </row>
    <row r="19" customFormat="false" ht="15" hidden="false" customHeight="false" outlineLevel="0" collapsed="false">
      <c r="A19" s="53" t="s">
        <v>39</v>
      </c>
      <c r="B19" s="53" t="s">
        <v>12</v>
      </c>
      <c r="C19" s="54"/>
      <c r="D19" s="54"/>
      <c r="E19" s="55" t="n">
        <v>92092.34216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6"/>
      <c r="X19" s="57" t="n">
        <f aca="false">SUM(C19:W19)</f>
        <v>92092.34216</v>
      </c>
    </row>
    <row r="20" customFormat="false" ht="15" hidden="false" customHeight="false" outlineLevel="0" collapsed="false">
      <c r="A20" s="53" t="s">
        <v>40</v>
      </c>
      <c r="B20" s="53" t="s">
        <v>41</v>
      </c>
      <c r="C20" s="54"/>
      <c r="D20" s="54"/>
      <c r="E20" s="54"/>
      <c r="F20" s="54"/>
      <c r="G20" s="55" t="n">
        <v>1823.89275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6"/>
      <c r="X20" s="57" t="n">
        <f aca="false">SUM(C20:W20)</f>
        <v>1823.89275</v>
      </c>
    </row>
    <row r="21" customFormat="false" ht="15" hidden="false" customHeight="false" outlineLevel="0" collapsed="false">
      <c r="A21" s="53" t="s">
        <v>42</v>
      </c>
      <c r="B21" s="53" t="s">
        <v>8</v>
      </c>
      <c r="C21" s="54"/>
      <c r="D21" s="54"/>
      <c r="E21" s="54"/>
      <c r="F21" s="54"/>
      <c r="G21" s="54"/>
      <c r="H21" s="55" t="n">
        <v>158925.97069</v>
      </c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6"/>
      <c r="X21" s="57" t="n">
        <f aca="false">SUM(C21:W21)</f>
        <v>158925.97069</v>
      </c>
    </row>
    <row r="22" customFormat="false" ht="15" hidden="false" customHeight="false" outlineLevel="0" collapsed="false">
      <c r="A22" s="53" t="s">
        <v>43</v>
      </c>
      <c r="B22" s="53" t="s">
        <v>8</v>
      </c>
      <c r="C22" s="54"/>
      <c r="D22" s="54"/>
      <c r="E22" s="54"/>
      <c r="F22" s="54"/>
      <c r="G22" s="54"/>
      <c r="H22" s="55" t="n">
        <v>4225.53531</v>
      </c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6"/>
      <c r="X22" s="57" t="n">
        <f aca="false">SUM(C22:W22)</f>
        <v>4225.53531</v>
      </c>
    </row>
    <row r="23" customFormat="false" ht="15" hidden="false" customHeight="false" outlineLevel="0" collapsed="false">
      <c r="A23" s="53" t="s">
        <v>44</v>
      </c>
      <c r="B23" s="53" t="s">
        <v>12</v>
      </c>
      <c r="C23" s="54"/>
      <c r="D23" s="54"/>
      <c r="E23" s="54"/>
      <c r="F23" s="54"/>
      <c r="G23" s="54"/>
      <c r="H23" s="54"/>
      <c r="I23" s="54"/>
      <c r="J23" s="55" t="n">
        <v>4269.80652</v>
      </c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7" t="n">
        <v>10665.89464</v>
      </c>
      <c r="X23" s="57" t="n">
        <f aca="false">SUM(C23:W23)</f>
        <v>14935.70116</v>
      </c>
    </row>
    <row r="24" customFormat="false" ht="15" hidden="false" customHeight="false" outlineLevel="0" collapsed="false">
      <c r="A24" s="53" t="s">
        <v>46</v>
      </c>
      <c r="B24" s="53" t="s">
        <v>8</v>
      </c>
      <c r="C24" s="54"/>
      <c r="D24" s="54"/>
      <c r="E24" s="54"/>
      <c r="F24" s="54"/>
      <c r="G24" s="54"/>
      <c r="H24" s="54"/>
      <c r="I24" s="54"/>
      <c r="J24" s="55" t="n">
        <v>108163.4022</v>
      </c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6"/>
      <c r="X24" s="57" t="n">
        <f aca="false">SUM(C24:W24)</f>
        <v>108163.4022</v>
      </c>
    </row>
    <row r="25" customFormat="false" ht="15" hidden="false" customHeight="false" outlineLevel="0" collapsed="false">
      <c r="A25" s="53" t="s">
        <v>47</v>
      </c>
      <c r="B25" s="53" t="s">
        <v>8</v>
      </c>
      <c r="C25" s="54"/>
      <c r="D25" s="55" t="n">
        <v>69571.39629</v>
      </c>
      <c r="E25" s="54"/>
      <c r="F25" s="54"/>
      <c r="G25" s="54"/>
      <c r="H25" s="54"/>
      <c r="I25" s="54"/>
      <c r="J25" s="55" t="n">
        <v>398061.47444</v>
      </c>
      <c r="K25" s="54"/>
      <c r="L25" s="54"/>
      <c r="M25" s="54"/>
      <c r="N25" s="54"/>
      <c r="O25" s="54"/>
      <c r="P25" s="54"/>
      <c r="Q25" s="54"/>
      <c r="R25" s="55" t="n">
        <v>127715.02016</v>
      </c>
      <c r="S25" s="54"/>
      <c r="T25" s="54"/>
      <c r="U25" s="54"/>
      <c r="V25" s="54"/>
      <c r="W25" s="56"/>
      <c r="X25" s="57" t="n">
        <f aca="false">SUM(C25:W25)</f>
        <v>595347.89089</v>
      </c>
    </row>
    <row r="26" customFormat="false" ht="15" hidden="false" customHeight="false" outlineLevel="0" collapsed="false">
      <c r="A26" s="53" t="s">
        <v>49</v>
      </c>
      <c r="B26" s="53" t="s">
        <v>8</v>
      </c>
      <c r="C26" s="54"/>
      <c r="D26" s="54"/>
      <c r="E26" s="54"/>
      <c r="F26" s="54"/>
      <c r="G26" s="55" t="n">
        <v>30102.66315</v>
      </c>
      <c r="H26" s="54"/>
      <c r="I26" s="54"/>
      <c r="J26" s="54"/>
      <c r="K26" s="55" t="n">
        <v>83826.20906</v>
      </c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6"/>
      <c r="X26" s="57" t="n">
        <f aca="false">SUM(C26:W26)</f>
        <v>113928.87221</v>
      </c>
    </row>
    <row r="27" customFormat="false" ht="15" hidden="false" customHeight="false" outlineLevel="0" collapsed="false">
      <c r="A27" s="53" t="s">
        <v>51</v>
      </c>
      <c r="B27" s="53" t="s">
        <v>8</v>
      </c>
      <c r="C27" s="54"/>
      <c r="D27" s="54"/>
      <c r="E27" s="54"/>
      <c r="F27" s="54"/>
      <c r="G27" s="55" t="n">
        <v>55974.7098</v>
      </c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6"/>
      <c r="X27" s="57" t="n">
        <f aca="false">SUM(C27:W27)</f>
        <v>55974.7098</v>
      </c>
    </row>
    <row r="28" customFormat="false" ht="15" hidden="false" customHeight="false" outlineLevel="0" collapsed="false">
      <c r="A28" s="53" t="s">
        <v>52</v>
      </c>
      <c r="B28" s="53" t="s">
        <v>8</v>
      </c>
      <c r="C28" s="54"/>
      <c r="D28" s="54"/>
      <c r="E28" s="54"/>
      <c r="F28" s="55" t="n">
        <v>234827.80219</v>
      </c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6"/>
      <c r="X28" s="57" t="n">
        <f aca="false">SUM(C28:W28)</f>
        <v>234827.80219</v>
      </c>
    </row>
    <row r="29" customFormat="false" ht="15" hidden="false" customHeight="false" outlineLevel="0" collapsed="false">
      <c r="A29" s="53" t="s">
        <v>54</v>
      </c>
      <c r="B29" s="53" t="s">
        <v>12</v>
      </c>
      <c r="C29" s="54"/>
      <c r="D29" s="54"/>
      <c r="E29" s="54"/>
      <c r="F29" s="54"/>
      <c r="G29" s="54"/>
      <c r="H29" s="54"/>
      <c r="I29" s="54"/>
      <c r="J29" s="55" t="n">
        <v>2538.03984</v>
      </c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6"/>
      <c r="X29" s="57" t="n">
        <f aca="false">SUM(C29:W29)</f>
        <v>2538.03984</v>
      </c>
    </row>
    <row r="30" customFormat="false" ht="15" hidden="false" customHeight="false" outlineLevel="0" collapsed="false">
      <c r="A30" s="53" t="s">
        <v>55</v>
      </c>
      <c r="B30" s="53" t="s">
        <v>8</v>
      </c>
      <c r="C30" s="54"/>
      <c r="D30" s="54"/>
      <c r="E30" s="54"/>
      <c r="F30" s="54"/>
      <c r="G30" s="54"/>
      <c r="H30" s="55" t="n">
        <v>15371.93746</v>
      </c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5" t="n">
        <v>61135.48602</v>
      </c>
      <c r="T30" s="54"/>
      <c r="U30" s="54"/>
      <c r="V30" s="54"/>
      <c r="W30" s="56"/>
      <c r="X30" s="57" t="n">
        <f aca="false">SUM(C30:W30)</f>
        <v>76507.42348</v>
      </c>
    </row>
    <row r="31" customFormat="false" ht="15" hidden="false" customHeight="false" outlineLevel="0" collapsed="false">
      <c r="A31" s="53" t="s">
        <v>56</v>
      </c>
      <c r="B31" s="53" t="s">
        <v>8</v>
      </c>
      <c r="C31" s="54"/>
      <c r="D31" s="54"/>
      <c r="E31" s="54"/>
      <c r="F31" s="54"/>
      <c r="G31" s="54"/>
      <c r="H31" s="54"/>
      <c r="I31" s="54"/>
      <c r="J31" s="55" t="n">
        <v>15041.56584</v>
      </c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6"/>
      <c r="X31" s="57" t="n">
        <f aca="false">SUM(C31:W31)</f>
        <v>15041.56584</v>
      </c>
    </row>
    <row r="32" customFormat="false" ht="15" hidden="false" customHeight="false" outlineLevel="0" collapsed="false">
      <c r="A32" s="53" t="s">
        <v>57</v>
      </c>
      <c r="B32" s="53" t="s">
        <v>8</v>
      </c>
      <c r="C32" s="54"/>
      <c r="D32" s="54"/>
      <c r="E32" s="54"/>
      <c r="F32" s="54"/>
      <c r="G32" s="54"/>
      <c r="H32" s="54"/>
      <c r="I32" s="54"/>
      <c r="J32" s="54"/>
      <c r="K32" s="54"/>
      <c r="L32" s="55" t="n">
        <v>1323.5557</v>
      </c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6"/>
      <c r="X32" s="57" t="n">
        <f aca="false">SUM(C32:W32)</f>
        <v>1323.5557</v>
      </c>
    </row>
    <row r="33" customFormat="false" ht="15" hidden="false" customHeight="false" outlineLevel="0" collapsed="false">
      <c r="A33" s="53" t="s">
        <v>59</v>
      </c>
      <c r="B33" s="53" t="s">
        <v>8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5" t="n">
        <v>34485.0168</v>
      </c>
      <c r="N33" s="54"/>
      <c r="O33" s="54"/>
      <c r="P33" s="54"/>
      <c r="Q33" s="54"/>
      <c r="R33" s="54"/>
      <c r="S33" s="54"/>
      <c r="T33" s="54"/>
      <c r="U33" s="54"/>
      <c r="V33" s="54"/>
      <c r="W33" s="56"/>
      <c r="X33" s="57" t="n">
        <f aca="false">SUM(C33:W33)</f>
        <v>34485.0168</v>
      </c>
    </row>
    <row r="34" customFormat="false" ht="15" hidden="false" customHeight="false" outlineLevel="0" collapsed="false">
      <c r="A34" s="53" t="s">
        <v>61</v>
      </c>
      <c r="B34" s="53" t="s">
        <v>8</v>
      </c>
      <c r="C34" s="54"/>
      <c r="D34" s="54"/>
      <c r="E34" s="54"/>
      <c r="F34" s="54"/>
      <c r="G34" s="54"/>
      <c r="H34" s="54"/>
      <c r="I34" s="55" t="n">
        <v>72395.22444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6"/>
      <c r="X34" s="57" t="n">
        <f aca="false">SUM(C34:W34)</f>
        <v>72395.22444</v>
      </c>
    </row>
    <row r="35" customFormat="false" ht="15" hidden="false" customHeight="false" outlineLevel="0" collapsed="false">
      <c r="A35" s="53" t="s">
        <v>63</v>
      </c>
      <c r="B35" s="53" t="s">
        <v>8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5" t="n">
        <v>104055.43776</v>
      </c>
      <c r="N35" s="54"/>
      <c r="O35" s="54"/>
      <c r="P35" s="54"/>
      <c r="Q35" s="54"/>
      <c r="R35" s="54"/>
      <c r="S35" s="54"/>
      <c r="T35" s="54"/>
      <c r="U35" s="54"/>
      <c r="V35" s="54"/>
      <c r="W35" s="56"/>
      <c r="X35" s="57" t="n">
        <f aca="false">SUM(C35:W35)</f>
        <v>104055.43776</v>
      </c>
    </row>
    <row r="36" customFormat="false" ht="15" hidden="false" customHeight="false" outlineLevel="0" collapsed="false">
      <c r="A36" s="53" t="s">
        <v>64</v>
      </c>
      <c r="B36" s="53" t="s">
        <v>8</v>
      </c>
      <c r="C36" s="54"/>
      <c r="D36" s="54"/>
      <c r="E36" s="54"/>
      <c r="F36" s="54"/>
      <c r="G36" s="54"/>
      <c r="H36" s="54"/>
      <c r="I36" s="55" t="n">
        <v>618877.08344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6"/>
      <c r="X36" s="57" t="n">
        <f aca="false">SUM(C36:W36)</f>
        <v>618877.08344</v>
      </c>
    </row>
    <row r="37" customFormat="false" ht="15" hidden="false" customHeight="false" outlineLevel="0" collapsed="false">
      <c r="A37" s="53" t="s">
        <v>65</v>
      </c>
      <c r="B37" s="53" t="s">
        <v>8</v>
      </c>
      <c r="C37" s="54"/>
      <c r="D37" s="54"/>
      <c r="E37" s="54"/>
      <c r="F37" s="54"/>
      <c r="G37" s="54"/>
      <c r="H37" s="54"/>
      <c r="I37" s="54"/>
      <c r="J37" s="55" t="n">
        <v>128703.87544</v>
      </c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6"/>
      <c r="X37" s="57" t="n">
        <f aca="false">SUM(C37:W37)</f>
        <v>128703.87544</v>
      </c>
    </row>
    <row r="38" customFormat="false" ht="15" hidden="false" customHeight="false" outlineLevel="0" collapsed="false">
      <c r="A38" s="53" t="s">
        <v>66</v>
      </c>
      <c r="B38" s="53" t="s">
        <v>8</v>
      </c>
      <c r="C38" s="54"/>
      <c r="D38" s="54"/>
      <c r="E38" s="54"/>
      <c r="F38" s="54"/>
      <c r="G38" s="54"/>
      <c r="H38" s="55" t="n">
        <v>82624.37598</v>
      </c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6"/>
      <c r="X38" s="57" t="n">
        <f aca="false">SUM(C38:W38)</f>
        <v>82624.37598</v>
      </c>
    </row>
    <row r="39" customFormat="false" ht="15" hidden="false" customHeight="false" outlineLevel="0" collapsed="false">
      <c r="A39" s="53" t="s">
        <v>67</v>
      </c>
      <c r="B39" s="53" t="s">
        <v>8</v>
      </c>
      <c r="C39" s="54"/>
      <c r="D39" s="54"/>
      <c r="E39" s="54"/>
      <c r="F39" s="54"/>
      <c r="G39" s="55" t="n">
        <v>242714.097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6"/>
      <c r="X39" s="57" t="n">
        <f aca="false">SUM(C39:W39)</f>
        <v>242714.097</v>
      </c>
    </row>
    <row r="40" customFormat="false" ht="15" hidden="false" customHeight="false" outlineLevel="0" collapsed="false">
      <c r="A40" s="53" t="s">
        <v>68</v>
      </c>
      <c r="B40" s="53" t="s">
        <v>8</v>
      </c>
      <c r="C40" s="54"/>
      <c r="D40" s="54"/>
      <c r="E40" s="54"/>
      <c r="F40" s="55" t="n">
        <v>136438.80335</v>
      </c>
      <c r="G40" s="55" t="n">
        <v>9717.4026</v>
      </c>
      <c r="H40" s="54"/>
      <c r="I40" s="54"/>
      <c r="J40" s="54"/>
      <c r="K40" s="54"/>
      <c r="L40" s="54"/>
      <c r="M40" s="54"/>
      <c r="N40" s="54"/>
      <c r="O40" s="54"/>
      <c r="P40" s="55" t="n">
        <v>12847.584</v>
      </c>
      <c r="Q40" s="54"/>
      <c r="R40" s="55" t="n">
        <v>19600.76316</v>
      </c>
      <c r="S40" s="54"/>
      <c r="T40" s="54"/>
      <c r="U40" s="54"/>
      <c r="V40" s="54"/>
      <c r="W40" s="56"/>
      <c r="X40" s="57" t="n">
        <f aca="false">SUM(C40:W40)</f>
        <v>178604.55311</v>
      </c>
    </row>
    <row r="41" customFormat="false" ht="15" hidden="false" customHeight="false" outlineLevel="0" collapsed="false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9" t="n">
        <f aca="false">SUM(X3:X40)</f>
        <v>6858238.34986</v>
      </c>
    </row>
  </sheetData>
  <mergeCells count="2">
    <mergeCell ref="C1:W1"/>
    <mergeCell ref="A41:W41"/>
  </mergeCells>
  <printOptions headings="false" gridLines="false" gridLinesSet="true" horizontalCentered="true" verticalCentered="false"/>
  <pageMargins left="0.4" right="0.4" top="0.5" bottom="0.5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2026-09-21T21:23:43Z</dcterms:created>
  <dc:creator/>
  <dc:description/>
  <dc:language>en-US</dc:language>
  <cp:lastModifiedBy/>
  <dcterms:modified xsi:type="dcterms:W3CDTF">2026-09-23T15:34:22Z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