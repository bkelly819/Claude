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ient Input" sheetId="1" state="visible" r:id="rId3"/>
    <sheet name="Tax Calculation" sheetId="2" state="visible" r:id="rId4"/>
    <sheet name="Client Summary" sheetId="3" state="visible" r:id="rId5"/>
    <sheet name="Tax Tables &amp; Assumptions" sheetId="4" state="visible" r:id="rId6"/>
    <sheet name="Test Cases" sheetId="5" state="visible" r:id="rId7"/>
  </sheets>
  <definedNames>
    <definedName function="false" hidden="false" localSheetId="2" name="_xlnm.Print_Area" vbProcedure="false">'Client Summary'!$A$1:$F$43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<sst xmlns="http://schemas.openxmlformats.org/spreadsheetml/2006/main" count="498" uniqueCount="371">
  <si>
    <t xml:space="preserve">Dividend / Portfolio Income / Interest Tax Estimator</t>
  </si>
  <si>
    <t xml:space="preserve">Federal &amp; New Jersey estimate for NJ residents — enter the client's data in the yellow cells. Results appear on the Client Summary tab.</t>
  </si>
  <si>
    <t xml:space="preserve">Legend:</t>
  </si>
  <si>
    <t xml:space="preserve">Input (edit)</t>
  </si>
  <si>
    <t xml:space="preserve">Formula (protected)</t>
  </si>
  <si>
    <t xml:space="preserve">Tax assumptions live on the 'Tax Tables &amp; Assumptions' tab</t>
  </si>
  <si>
    <t xml:space="preserve">Item</t>
  </si>
  <si>
    <t xml:space="preserve">Value</t>
  </si>
  <si>
    <t xml:space="preserve">Check</t>
  </si>
  <si>
    <t xml:space="preserve">Notes</t>
  </si>
  <si>
    <t xml:space="preserve">CLIENT INFORMATION</t>
  </si>
  <si>
    <t xml:space="preserve">Client name</t>
  </si>
  <si>
    <t xml:space="preserve">Sample Client (replace)</t>
  </si>
  <si>
    <t xml:space="preserve">Required.</t>
  </si>
  <si>
    <t xml:space="preserve">Tax year</t>
  </si>
  <si>
    <t xml:space="preserve">Required. Must match the year of the Tax Tables tab.</t>
  </si>
  <si>
    <t xml:space="preserve">Filing status</t>
  </si>
  <si>
    <t xml:space="preserve">Married Filing Jointly</t>
  </si>
  <si>
    <t xml:space="preserve">Required. Dropdown: Single, MFJ, MFS, Head of Household.</t>
  </si>
  <si>
    <t xml:space="preserve">New Jersey resident?</t>
  </si>
  <si>
    <t xml:space="preserve">Yes</t>
  </si>
  <si>
    <t xml:space="preserve">Required. Yes/No. The NJ calculation applies to full-year NJ residents.</t>
  </si>
  <si>
    <t xml:space="preserve">Number of dependents (for NJ $1,500 exemptions) – optional</t>
  </si>
  <si>
    <t xml:space="preserve">Optional. Used only for NJ exemptions.</t>
  </si>
  <si>
    <t xml:space="preserve">EXISTING INCOME (BEFORE INVESTMENT INCOME)</t>
  </si>
  <si>
    <t xml:space="preserve">Estimated ordinary taxable income BEFORE investment income</t>
  </si>
  <si>
    <t xml:space="preserve">Required. Federal TAXABLE income (after deductions) from wages, pensions, business income, etc. — EXCLUDING the investment income entered below.</t>
  </si>
  <si>
    <t xml:space="preserve">Federal deduction assumed (optional – blank = standard deduction)</t>
  </si>
  <si>
    <t xml:space="preserve">Optional. Enter itemized deductions if the client itemizes. Used to estimate AGI/MAGI (NIIT) and NJ income.</t>
  </si>
  <si>
    <t xml:space="preserve">NJ taxable income BEFORE investment income (optional override)</t>
  </si>
  <si>
    <t xml:space="preserve">Optional. NJ income after NJ exemptions, excluding investment income. Blank = federal taxable income + federal deduction − NJ exemptions.</t>
  </si>
  <si>
    <t xml:space="preserve">INVESTMENT INCOME (ANNUAL AMOUNTS)</t>
  </si>
  <si>
    <t xml:space="preserve">Qualified dividends</t>
  </si>
  <si>
    <t xml:space="preserve">Federal: 0/15/20% rates. NJ: taxable at ordinary NJ rates.</t>
  </si>
  <si>
    <t xml:space="preserve">Ordinary / non-qualified dividends</t>
  </si>
  <si>
    <t xml:space="preserve">Do NOT include qualified dividends here. Federal &amp; NJ: ordinary.</t>
  </si>
  <si>
    <t xml:space="preserve">Money market income</t>
  </si>
  <si>
    <t xml:space="preserve">Federal: ordinary. NJ: taxable except the exempt % entered below.</t>
  </si>
  <si>
    <t xml:space="preserve">Bank / CD interest</t>
  </si>
  <si>
    <t xml:space="preserve">Federal &amp; NJ: ordinary.</t>
  </si>
  <si>
    <t xml:space="preserve">Other taxable interest (corporate bonds, etc.)</t>
  </si>
  <si>
    <t xml:space="preserve">U.S. Treasury interest (bills, notes, bonds, I/EE bonds)</t>
  </si>
  <si>
    <t xml:space="preserve">Federal: ordinary. NJ: EXEMPT (U.S. government obligation).</t>
  </si>
  <si>
    <t xml:space="preserve">Tax-exempt / municipal interest</t>
  </si>
  <si>
    <t xml:space="preserve">Federal: exempt. NJ: exempt if from NJ issuers; out-of-state munis are NJ taxable (see % below).</t>
  </si>
  <si>
    <t xml:space="preserve">Short-term capital gains (net, held ≤ 1 year)</t>
  </si>
  <si>
    <t xml:space="preserve">Federal: ordinary rates. NJ: taxable. Enter ≥ 0.</t>
  </si>
  <si>
    <t xml:space="preserve">Long-term capital gains (net, held &gt; 1 year)</t>
  </si>
  <si>
    <t xml:space="preserve">Federal: 0/15/20% rates. NJ: taxable. Enter ≥ 0.</t>
  </si>
  <si>
    <t xml:space="preserve">NEW JERSEY TREATMENT ADJUSTMENTS</t>
  </si>
  <si>
    <t xml:space="preserve">Money market: % from U.S. obligations that is NJ-exempt</t>
  </si>
  <si>
    <t xml:space="preserve">Only if the fund is a NJ 'qualified investment fund' (fund's year-end NJ tax letter). Otherwise 0%.</t>
  </si>
  <si>
    <t xml:space="preserve">Municipal interest: % from New Jersey issuers (NJ-exempt)</t>
  </si>
  <si>
    <t xml:space="preserve">100% = all NJ bonds (NJ-exempt). 0% = all out-of-state bonds (taxable in NJ). National muni funds publish the NJ %.</t>
  </si>
  <si>
    <t xml:space="preserve">CALCULATED TOTALS (formulas – protected)</t>
  </si>
  <si>
    <t xml:space="preserve">Total ordinary investment income (non-qualified dividends + all taxable interest, incl. Treasury)</t>
  </si>
  <si>
    <t xml:space="preserve">Taxed federally at ordinary rates.</t>
  </si>
  <si>
    <t xml:space="preserve">Total qualified dividends</t>
  </si>
  <si>
    <t xml:space="preserve">Federal preferential rates.</t>
  </si>
  <si>
    <t xml:space="preserve">Total short-term capital gains</t>
  </si>
  <si>
    <t xml:space="preserve">Taxed federally as ordinary income.</t>
  </si>
  <si>
    <t xml:space="preserve">Total long-term capital gains</t>
  </si>
  <si>
    <t xml:space="preserve">Total federally taxable investment income</t>
  </si>
  <si>
    <t xml:space="preserve">Also = net investment income for NIIT.</t>
  </si>
  <si>
    <t xml:space="preserve">Total tax-exempt income (municipal interest)</t>
  </si>
  <si>
    <t xml:space="preserve">Federally exempt.</t>
  </si>
  <si>
    <t xml:space="preserve">TOTAL INVESTMENT INCOME (all sources)</t>
  </si>
  <si>
    <t xml:space="preserve">Taxable + tax-exempt.</t>
  </si>
  <si>
    <t xml:space="preserve">INPUT STATUS:</t>
  </si>
  <si>
    <t xml:space="preserve">All results are high-level planning ESTIMATES, not tax preparation. Sheets are protected without a password (Review ▸ Unprotect Sheet) to prevent accidental edits to formulas.</t>
  </si>
  <si>
    <t xml:space="preserve">Tax Calculation (all formulas – protected)</t>
  </si>
  <si>
    <t xml:space="preserve">Green = linked from another tab · Black = calculated here. Marginal method: tax WITH investment income minus tax WITHOUT it.</t>
  </si>
  <si>
    <t xml:space="preserve">A. CLIENT PARAMETERS &amp; ASSUMPTIONS SELECTED FOR THIS FILING STATUS</t>
  </si>
  <si>
    <t xml:space="preserve">Filing status (index 1–4 into tax tables)</t>
  </si>
  <si>
    <t xml:space="preserve">1=Single, 2=MFJ, 3=MFS, 4=HoH (defaults to 1 if blank).</t>
  </si>
  <si>
    <t xml:space="preserve">NJ resident flag (1 = Yes)</t>
  </si>
  <si>
    <t xml:space="preserve">Blank is treated as Yes; a warning shows on Client Input.</t>
  </si>
  <si>
    <t xml:space="preserve">Federal standard deduction</t>
  </si>
  <si>
    <t xml:space="preserve">Federal deduction assumed</t>
  </si>
  <si>
    <t xml:space="preserve">Standard deduction unless overridden on Client Input.</t>
  </si>
  <si>
    <t xml:space="preserve">QD/LTCG 15% tier begins above (taxable income)</t>
  </si>
  <si>
    <t xml:space="preserve">QD/LTCG 20% tier begins above (taxable income)</t>
  </si>
  <si>
    <t xml:space="preserve">QD/LTCG rate – 0% tier</t>
  </si>
  <si>
    <t xml:space="preserve">QD/LTCG rate – 15% tier</t>
  </si>
  <si>
    <t xml:space="preserve">QD/LTCG rate – 20% tier</t>
  </si>
  <si>
    <t xml:space="preserve">NIIT rate</t>
  </si>
  <si>
    <t xml:space="preserve">NIIT MAGI threshold</t>
  </si>
  <si>
    <t xml:space="preserve">NJ rate table used</t>
  </si>
  <si>
    <t xml:space="preserve">NJ exemptions (personal + dependents)</t>
  </si>
  <si>
    <t xml:space="preserve">NJ standard deduction</t>
  </si>
  <si>
    <t xml:space="preserve">NJ has none (0).</t>
  </si>
  <si>
    <t xml:space="preserve">NJ filing threshold (no tax if NJ gross income ≤)</t>
  </si>
  <si>
    <t xml:space="preserve">B. INVESTMENT INCOME COMPONENTS (negatives treated as $0)</t>
  </si>
  <si>
    <t xml:space="preserve">Component</t>
  </si>
  <si>
    <t xml:space="preserve">Amount</t>
  </si>
  <si>
    <t xml:space="preserve">Federal: ordinary</t>
  </si>
  <si>
    <t xml:space="preserve">Federal: preferential</t>
  </si>
  <si>
    <t xml:space="preserve">Federal: exempt</t>
  </si>
  <si>
    <t xml:space="preserve">NJ taxable</t>
  </si>
  <si>
    <t xml:space="preserve">NJ exempt</t>
  </si>
  <si>
    <t xml:space="preserve">NJ treatment</t>
  </si>
  <si>
    <t xml:space="preserve">Taxable at ordinary NJ rates</t>
  </si>
  <si>
    <t xml:space="preserve">Taxable except NJ qualified-investment-fund exempt %</t>
  </si>
  <si>
    <t xml:space="preserve">Other taxable interest</t>
  </si>
  <si>
    <t xml:space="preserve">U.S. Treasury interest</t>
  </si>
  <si>
    <t xml:space="preserve">Exempt – U.S. obligation</t>
  </si>
  <si>
    <t xml:space="preserve">Out-of-state portion taxable; NJ-issuer portion exempt</t>
  </si>
  <si>
    <t xml:space="preserve">Short-term capital gains</t>
  </si>
  <si>
    <t xml:space="preserve">Long-term capital gains</t>
  </si>
  <si>
    <t xml:space="preserve">Totals</t>
  </si>
  <si>
    <t xml:space="preserve">Ordinary investment income excl. short-term gains</t>
  </si>
  <si>
    <t xml:space="preserve">Net investment income for NIIT (all federally taxable investment income)</t>
  </si>
  <si>
    <t xml:space="preserve">C. FEDERAL ORDINARY BRACKETS FOR THIS FILING STATUS</t>
  </si>
  <si>
    <t xml:space="preserve">Bracket</t>
  </si>
  <si>
    <t xml:space="preserve">Rate</t>
  </si>
  <si>
    <t xml:space="preserve">Taxable income over</t>
  </si>
  <si>
    <t xml:space="preserve">Up to</t>
  </si>
  <si>
    <t xml:space="preserve">Incremental rate</t>
  </si>
  <si>
    <t xml:space="preserve">Income in bracket – BEFORE</t>
  </si>
  <si>
    <t xml:space="preserve">Income in bracket – AFTER</t>
  </si>
  <si>
    <t xml:space="preserve">Added tax in bracket</t>
  </si>
  <si>
    <t xml:space="preserve">Bracket 1</t>
  </si>
  <si>
    <t xml:space="preserve">Bracket 2</t>
  </si>
  <si>
    <t xml:space="preserve">Bracket 3</t>
  </si>
  <si>
    <t xml:space="preserve">Bracket 4</t>
  </si>
  <si>
    <t xml:space="preserve">Bracket 5</t>
  </si>
  <si>
    <t xml:space="preserve">Bracket 6</t>
  </si>
  <si>
    <t xml:space="preserve">Bracket 7</t>
  </si>
  <si>
    <t xml:space="preserve">Total ordinary income / added ordinary tax</t>
  </si>
  <si>
    <t xml:space="preserve">Shows how ordinary investment income &amp; STCG fill each bracket above existing income.</t>
  </si>
  <si>
    <t xml:space="preserve">D. FEDERAL INCOME TAX – BEFORE vs. AFTER INVESTMENT INCOME (income added in stacking order)</t>
  </si>
  <si>
    <t xml:space="preserve">Line</t>
  </si>
  <si>
    <t xml:space="preserve">1. BEFORE investment income</t>
  </si>
  <si>
    <t xml:space="preserve">2. + Ordinary interest &amp; dividends</t>
  </si>
  <si>
    <t xml:space="preserve">3. + Short-term gains</t>
  </si>
  <si>
    <t xml:space="preserve">4. + Qualified dividends</t>
  </si>
  <si>
    <t xml:space="preserve">5. + Long-term gains (= AFTER)</t>
  </si>
  <si>
    <t xml:space="preserve">Ordinary taxable income (taxed at ordinary rates)</t>
  </si>
  <si>
    <t xml:space="preserve">Preferential income (qualified dividends + LTCG)</t>
  </si>
  <si>
    <t xml:space="preserve">Total federal taxable income</t>
  </si>
  <si>
    <t xml:space="preserve">Tax on ordinary income (bracket math)</t>
  </si>
  <si>
    <t xml:space="preserve">   Preferential income in 0% tier</t>
  </si>
  <si>
    <t xml:space="preserve">   Preferential income in 15% tier</t>
  </si>
  <si>
    <t xml:space="preserve">   Preferential income in 20% tier</t>
  </si>
  <si>
    <t xml:space="preserve">Tax on qualified dividends &amp; LTCG (preferential rates)</t>
  </si>
  <si>
    <t xml:space="preserve">Total federal income tax (before NIIT)</t>
  </si>
  <si>
    <t xml:space="preserve">Added federal income tax from this step</t>
  </si>
  <si>
    <t xml:space="preserve">Marginal ordinary bracket at top of ordinary income</t>
  </si>
  <si>
    <t xml:space="preserve">Marginal preferential rate at top of taxable income</t>
  </si>
  <si>
    <t xml:space="preserve">Preferential tiers follow the IRS Qualified Dividends &amp; Capital Gain Tax Worksheet: ordinary income fills the 0%/15% thresholds first; QD/LTCG are stacked on top.</t>
  </si>
  <si>
    <t xml:space="preserve">E. FEDERAL TAX ATTRIBUTABLE TO INVESTMENT INCOME</t>
  </si>
  <si>
    <t xml:space="preserve">Rate on income</t>
  </si>
  <si>
    <t xml:space="preserve">How calculated</t>
  </si>
  <si>
    <t xml:space="preserve">Tax on ordinary investment income (dividends &amp; interest)</t>
  </si>
  <si>
    <t xml:space="preserve">Step 2 − Step 1</t>
  </si>
  <si>
    <t xml:space="preserve">Tax on short-term capital gains</t>
  </si>
  <si>
    <t xml:space="preserve">Step 3 − Step 2</t>
  </si>
  <si>
    <t xml:space="preserve">Tax on qualified dividends</t>
  </si>
  <si>
    <t xml:space="preserve">Step 4 − Step 3</t>
  </si>
  <si>
    <t xml:space="preserve">Tax on long-term capital gains</t>
  </si>
  <si>
    <t xml:space="preserve">Step 5 − Step 4</t>
  </si>
  <si>
    <t xml:space="preserve">Federal income tax attributable to investment income</t>
  </si>
  <si>
    <t xml:space="preserve">Tax AFTER − tax BEFORE (equals the sum of the four lines above).</t>
  </si>
  <si>
    <t xml:space="preserve">NIIT – Net Investment Income Tax</t>
  </si>
  <si>
    <t xml:space="preserve">Estimated MAGI BEFORE investment income</t>
  </si>
  <si>
    <t xml:space="preserve">Existing taxable income + deduction assumed</t>
  </si>
  <si>
    <t xml:space="preserve">Estimated MAGI AFTER investment income</t>
  </si>
  <si>
    <t xml:space="preserve">Adds federally taxable investment income (munis excluded)</t>
  </si>
  <si>
    <t xml:space="preserve">NIIT threshold for filing status</t>
  </si>
  <si>
    <t xml:space="preserve">MAGI in excess of threshold</t>
  </si>
  <si>
    <t xml:space="preserve">NIIT base = lesser of net investment income or excess MAGI</t>
  </si>
  <si>
    <t xml:space="preserve">Form 8960 line 17 logic</t>
  </si>
  <si>
    <t xml:space="preserve">NIIT (3.8%)</t>
  </si>
  <si>
    <t xml:space="preserve">All NIIT is attributable to investment income</t>
  </si>
  <si>
    <t xml:space="preserve">TOTAL FEDERAL TAX ON INVESTMENT INCOME (income tax + NIIT)</t>
  </si>
  <si>
    <t xml:space="preserve">Rate shown is on federally taxable investment income.</t>
  </si>
  <si>
    <t xml:space="preserve">F. NEW JERSEY GROSS INCOME TAX – BEFORE vs. AFTER INVESTMENT INCOME</t>
  </si>
  <si>
    <t xml:space="preserve">NJ bracket</t>
  </si>
  <si>
    <t xml:space="preserve">NJ taxable income over</t>
  </si>
  <si>
    <t xml:space="preserve">Added NJ tax in bracket</t>
  </si>
  <si>
    <t xml:space="preserve">Bracket 8</t>
  </si>
  <si>
    <t xml:space="preserve">Total NJ taxable income / added NJ tax (before threshold test)</t>
  </si>
  <si>
    <t xml:space="preserve">NJ calculation</t>
  </si>
  <si>
    <t xml:space="preserve">BEFORE investment income</t>
  </si>
  <si>
    <t xml:space="preserve">AFTER investment income</t>
  </si>
  <si>
    <t xml:space="preserve">Difference</t>
  </si>
  <si>
    <t xml:space="preserve">NJ taxable income</t>
  </si>
  <si>
    <t xml:space="preserve">Before: override, or federal taxable income + federal deduction − NJ std. deduction − NJ exemptions. After: + NJ taxable investment income (Section B).</t>
  </si>
  <si>
    <t xml:space="preserve">NJ gross income (for filing-threshold test)</t>
  </si>
  <si>
    <t xml:space="preserve">No NJ tax if gross income ≤ the filing threshold.</t>
  </si>
  <si>
    <t xml:space="preserve">NJ tax per rate schedule (bracket math)</t>
  </si>
  <si>
    <t xml:space="preserve">NJ tax (after filing threshold &amp; residency test)</t>
  </si>
  <si>
    <t xml:space="preserve">Difference = NJ tax attributable to investment income.</t>
  </si>
  <si>
    <t xml:space="preserve">NJ marginal rate</t>
  </si>
  <si>
    <t xml:space="preserve">NJ tax on investment income as % of NJ taxable investment income</t>
  </si>
  <si>
    <t xml:space="preserve">G. COMBINED RESULTS (feeds the Client Summary)</t>
  </si>
  <si>
    <t xml:space="preserve">Federal income tax on investment income</t>
  </si>
  <si>
    <t xml:space="preserve">Federal NIIT</t>
  </si>
  <si>
    <t xml:space="preserve">New Jersey tax on investment income</t>
  </si>
  <si>
    <t xml:space="preserve">Total estimated tax on investment income</t>
  </si>
  <si>
    <t xml:space="preserve">After-tax investment income</t>
  </si>
  <si>
    <t xml:space="preserve">Effective tax rate on total investment income</t>
  </si>
  <si>
    <t xml:space="preserve">Effective tax rate on taxable investment income</t>
  </si>
  <si>
    <t xml:space="preserve">Check: federal components tie to BEFORE/AFTER difference</t>
  </si>
  <si>
    <t xml:space="preserve">Check: component totals tie to Client Input</t>
  </si>
  <si>
    <t xml:space="preserve">Investment Income Tax Estimate</t>
  </si>
  <si>
    <t xml:space="preserve">Federal &amp; New Jersey — High-Level Planning ESTIMATE</t>
  </si>
  <si>
    <t xml:space="preserve">Client</t>
  </si>
  <si>
    <t xml:space="preserve">New Jersey resident</t>
  </si>
  <si>
    <t xml:space="preserve">INVESTMENT INCOME SUMMARY</t>
  </si>
  <si>
    <t xml:space="preserve">ESTIMATED TAX IMPACT</t>
  </si>
  <si>
    <t xml:space="preserve">Estimated federal income tax</t>
  </si>
  <si>
    <t xml:space="preserve">Ordinary dividends</t>
  </si>
  <si>
    <t xml:space="preserve">Estimated federal NIIT (3.8%)</t>
  </si>
  <si>
    <t xml:space="preserve">Interest income (money market, bank/CD, other)</t>
  </si>
  <si>
    <t xml:space="preserve">Estimated New Jersey tax</t>
  </si>
  <si>
    <t xml:space="preserve">Estimated total tax</t>
  </si>
  <si>
    <t xml:space="preserve">Tax-exempt (municipal) interest</t>
  </si>
  <si>
    <t xml:space="preserve">Estimated after-tax investment income</t>
  </si>
  <si>
    <t xml:space="preserve">Effective tax rate on investment income</t>
  </si>
  <si>
    <t xml:space="preserve">Total investment income</t>
  </si>
  <si>
    <t xml:space="preserve">Effective rate = total estimated tax ÷ total investment income (incl. tax-exempt).</t>
  </si>
  <si>
    <t xml:space="preserve">FROM GROSS TO AFTER-TAX INVESTMENT INCOME</t>
  </si>
  <si>
    <t xml:space="preserve">FEDERAL TAX BY INCOME TYPE</t>
  </si>
  <si>
    <t xml:space="preserve">Ordinary dividends &amp; taxable interest</t>
  </si>
  <si>
    <t xml:space="preserve">Less: estimated federal tax (income tax + NIIT)</t>
  </si>
  <si>
    <t xml:space="preserve">Less: estimated New Jersey tax</t>
  </si>
  <si>
    <t xml:space="preserve">Equals: estimated after-tax investment income</t>
  </si>
  <si>
    <t xml:space="preserve">Net Investment Income Tax</t>
  </si>
  <si>
    <t xml:space="preserve">Total federal tax</t>
  </si>
  <si>
    <t xml:space="preserve">SUMMARY COMPARISON</t>
  </si>
  <si>
    <t xml:space="preserve">MARGINAL RATES (AFTER INVESTMENT INCOME)</t>
  </si>
  <si>
    <t xml:space="preserve">Category</t>
  </si>
  <si>
    <t xml:space="preserve">Federal ordinary bracket</t>
  </si>
  <si>
    <t xml:space="preserve">Gross Investment Income</t>
  </si>
  <si>
    <t xml:space="preserve">Federal QD / LTCG rate</t>
  </si>
  <si>
    <t xml:space="preserve">Federal Tax (incl. NIIT)</t>
  </si>
  <si>
    <t xml:space="preserve">NIIT applies?</t>
  </si>
  <si>
    <t xml:space="preserve">NJ Tax</t>
  </si>
  <si>
    <t xml:space="preserve">New Jersey bracket</t>
  </si>
  <si>
    <t xml:space="preserve">Total Estimated Tax</t>
  </si>
  <si>
    <t xml:space="preserve">NJ-exempt income (Treasury, NJ munis, etc.)</t>
  </si>
  <si>
    <t xml:space="preserve">After-Tax Income</t>
  </si>
  <si>
    <t xml:space="preserve">Effective Tax Rate</t>
  </si>
  <si>
    <t xml:space="preserve">IMPORTANT DISCLAIMER</t>
  </si>
  <si>
    <t xml:space="preserve">This calculator is intended for high-level tax planning and estimation purposes only and is not tax advice or a substitute for professional tax preparation. Actual tax liability may differ based on the taxpayer's complete financial and tax situation, including deductions, credits, other income, tax elections, and changes in federal or New Jersey tax law. Consult the client's tax professional for final tax calculations.</t>
  </si>
  <si>
    <t xml:space="preserve">Tax Tables &amp; Assumptions</t>
  </si>
  <si>
    <t xml:space="preserve">Every blue value on a light-blue background is an editable assumption used by the formulas. Update these cells each year; no formulas need to be rebuilt.</t>
  </si>
  <si>
    <t xml:space="preserve">Tax year of these assumptions:</t>
  </si>
  <si>
    <t xml:space="preserve">← Every row below is labeled with this tax year (column H).</t>
  </si>
  <si>
    <t xml:space="preserve">Assumption</t>
  </si>
  <si>
    <t xml:space="preserve">Formula</t>
  </si>
  <si>
    <t xml:space="preserve">1. FEDERAL ORDINARY INCOME TAX BRACKETS (taxable income over…)</t>
  </si>
  <si>
    <t xml:space="preserve">Single</t>
  </si>
  <si>
    <t xml:space="preserve">Married Filing Separately</t>
  </si>
  <si>
    <t xml:space="preserve">Head of Household</t>
  </si>
  <si>
    <t xml:space="preserve">Tax Year</t>
  </si>
  <si>
    <t xml:space="preserve">Source / Notes</t>
  </si>
  <si>
    <t xml:space="preserve">IRS Rev. Proc. 2025-32 §4.01 (2026 inflation adjustments, incl. One Big Beautiful Bill Act amendments; OBBBA made the 10%–37% rate structure permanent).</t>
  </si>
  <si>
    <t xml:space="preserve">Each value is the LOWER edge of the bracket (the rate applies to taxable income above it).</t>
  </si>
  <si>
    <t xml:space="preserve">2. FEDERAL STANDARD DEDUCTION</t>
  </si>
  <si>
    <t xml:space="preserve">Standard deduction</t>
  </si>
  <si>
    <t xml:space="preserve">Rev. Proc. 2025-32 (as amended by OBBBA). Used only to estimate AGI/MAGI (for NIIT) and NJ gross income. Excludes age 65+/blind add-ons and the OBBBA $6,000 senior deduction.</t>
  </si>
  <si>
    <t xml:space="preserve">3. QUALIFIED DIVIDEND &amp; LONG-TERM CAPITAL GAIN RATES (taxable income over…)</t>
  </si>
  <si>
    <t xml:space="preserve">Rate tier</t>
  </si>
  <si>
    <t xml:space="preserve">0% tier</t>
  </si>
  <si>
    <t xml:space="preserve">IRC §1(h); Rev. Proc. 2025-32 §4.03. Thresholds apply to TOTAL taxable income (ordinary income fills first; QD/LTCG stack on top).</t>
  </si>
  <si>
    <t xml:space="preserve">15% tier</t>
  </si>
  <si>
    <t xml:space="preserve">Qualified dividends use the same rates/thresholds as long-term capital gains (IRC §1(h)(11)).</t>
  </si>
  <si>
    <t xml:space="preserve">20% tier</t>
  </si>
  <si>
    <t xml:space="preserve">25% unrecaptured §1250 gain and 28% collectibles gain are NOT modeled.</t>
  </si>
  <si>
    <t xml:space="preserve">4. NET INVESTMENT INCOME TAX (NIIT)</t>
  </si>
  <si>
    <t xml:space="preserve">IRC §1411; Form 8960. NIIT = 3.8% × lesser of (net investment income) or (MAGI − threshold).</t>
  </si>
  <si>
    <t xml:space="preserve">Modified AGI threshold</t>
  </si>
  <si>
    <t xml:space="preserve">Thresholds are set by statute and are NOT indexed for inflation.</t>
  </si>
  <si>
    <t xml:space="preserve">5. NEW JERSEY GROSS INCOME TAX RATE SCHEDULES (NJ taxable income over…)</t>
  </si>
  <si>
    <t xml:space="preserve">Table A (Single / MFS) – over</t>
  </si>
  <si>
    <t xml:space="preserve">Table A rate</t>
  </si>
  <si>
    <t xml:space="preserve">Table B (MFJ / HoH) – over</t>
  </si>
  <si>
    <t xml:space="preserve">Table B rate</t>
  </si>
  <si>
    <t xml:space="preserve">N.J.S.A. 54A:2-1; NJ-1040 Tax Rate Schedules (NJ Division of Taxation). Rates unchanged since 2020 and in effect for 2026 (a 2026 flat-tax bill, A1850, was introduced but not enacted).</t>
  </si>
  <si>
    <t xml:space="preserve">Table A has 7 brackets – leave bracket 8 blank. Blank rows are ignored by the formulas.</t>
  </si>
  <si>
    <t xml:space="preserve">NJ taxes qualified dividends and capital gains at these same ordinary rates (no preferential rate).</t>
  </si>
  <si>
    <t xml:space="preserve">6. NEW JERSEY EXEMPTIONS, FILING THRESHOLD &amp; TABLE ASSIGNMENT</t>
  </si>
  <si>
    <t xml:space="preserve">NJ rate table used (A or B)</t>
  </si>
  <si>
    <t xml:space="preserve">A</t>
  </si>
  <si>
    <t xml:space="preserve">B</t>
  </si>
  <si>
    <t xml:space="preserve">NJ-1040 instructions: Table A = Single / MFS; Table B = MFJ / HoH / Qualifying surviving spouse.</t>
  </si>
  <si>
    <t xml:space="preserve">Personal exemption(s) – taxpayer (+ spouse if MFJ)</t>
  </si>
  <si>
    <t xml:space="preserve">N.J.S.A. 54A:3-1(a): $1,000 per taxpayer; $1,000 for spouse on a joint return.</t>
  </si>
  <si>
    <t xml:space="preserve">Dependent exemption (per dependent)</t>
  </si>
  <si>
    <t xml:space="preserve">N.J.S.A. 54A:3-1(b): $1,500 per qualified dependent. Age 65+/blind/veteran exemptions not modeled.</t>
  </si>
  <si>
    <t xml:space="preserve">Filing threshold – no NJ tax if NJ gross income ≤</t>
  </si>
  <si>
    <t xml:space="preserve">N.J.S.A. 54A:8-3.1: no tax due if gross income ≤ $10,000 (Single/MFS) or ≤ $20,000 (MFJ/HoH).</t>
  </si>
  <si>
    <t xml:space="preserve">New Jersey has NO standard deduction (property-tax, medical and other NJ deductions not modeled).</t>
  </si>
  <si>
    <t xml:space="preserve">7. NEW JERSEY TREATMENT OF INVESTMENT INCOME (built into the Tax Calculation formulas)</t>
  </si>
  <si>
    <t xml:space="preserve">Income type</t>
  </si>
  <si>
    <t xml:space="preserve">Federal</t>
  </si>
  <si>
    <t xml:space="preserve">New Jersey</t>
  </si>
  <si>
    <t xml:space="preserve">NJ rule / source</t>
  </si>
  <si>
    <t xml:space="preserve">Preferential 0/15/20%</t>
  </si>
  <si>
    <t xml:space="preserve">Taxable – ordinary NJ rates</t>
  </si>
  <si>
    <t xml:space="preserve">N.J.S.A. 54A:5-1(f): all dividends are NJ taxable income; no preferential rate.</t>
  </si>
  <si>
    <t xml:space="preserve">Ordinary rates</t>
  </si>
  <si>
    <t xml:space="preserve">Taxable</t>
  </si>
  <si>
    <t xml:space="preserve">N.J.S.A. 54A:5-1(f).</t>
  </si>
  <si>
    <t xml:space="preserve">Taxable, except exempt %</t>
  </si>
  <si>
    <t xml:space="preserve">Taxable as dividends/interest. Portion from U.S. obligations is exempt ONLY if the fund is a NJ 'qualified investment fund' (N.J.S.A. 54A:6-14.1) – enter that % on Client Input.</t>
  </si>
  <si>
    <t xml:space="preserve">Bank / CD &amp; other taxable interest</t>
  </si>
  <si>
    <t xml:space="preserve">N.J.S.A. 54A:5-1(e).</t>
  </si>
  <si>
    <t xml:space="preserve">EXEMPT</t>
  </si>
  <si>
    <t xml:space="preserve">31 U.S.C. §3124 and N.J.S.A. 54A:6-14: interest on U.S. government obligations is exempt from NJ tax.</t>
  </si>
  <si>
    <t xml:space="preserve">Municipal interest – NJ issuers</t>
  </si>
  <si>
    <t xml:space="preserve">Exempt</t>
  </si>
  <si>
    <t xml:space="preserve">N.J.S.A. 54A:6-14: obligations of NJ and its political subdivisions are exempt.</t>
  </si>
  <si>
    <t xml:space="preserve">Municipal interest – other states</t>
  </si>
  <si>
    <t xml:space="preserve">TAXABLE</t>
  </si>
  <si>
    <t xml:space="preserve">N.J.S.A. 54A:5-1(e) / 54A:6-14: interest on other states' obligations IS NJ taxable (NJ law requires it).</t>
  </si>
  <si>
    <t xml:space="preserve">N.J.S.A. 54A:5-1(c): net gains from disposition of property; no ST/LT distinction in NJ.</t>
  </si>
  <si>
    <t xml:space="preserve">N.J.S.A. 54A:5-1(c). NJ losses cannot offset other income categories (not modeled – gains ≥ 0).</t>
  </si>
  <si>
    <t xml:space="preserve">8. METHOD &amp; KEY SIMPLIFYING ASSUMPTIONS</t>
  </si>
  <si>
    <t xml:space="preserve">1. Marginal method: tax is computed WITHOUT investment income and WITH investment income; the difference is the tax attributable to investment income (never 'income × one flat rate').</t>
  </si>
  <si>
    <t xml:space="preserve">2. Federal stacking order: existing ordinary income → ordinary interest &amp; dividends → short-term gains → qualified dividends → long-term gains (IRS Qualified Dividends &amp; Capital Gain Tax Worksheet logic).</t>
  </si>
  <si>
    <t xml:space="preserve">3. 'Ordinary taxable income before investment income' is FEDERAL TAXABLE INCOME (after deductions). If the client's deductions exceed other income, unused deductions that would shelter investment income are not modeled.</t>
  </si>
  <si>
    <t xml:space="preserve">4. Estimated AGI/MAGI = existing taxable income + deduction assumed (standard unless overridden) + taxable investment income. Existing income is assumed to contain no investment income for NIIT purposes.</t>
  </si>
  <si>
    <t xml:space="preserve">5. NJ taxable income (if not overridden) ≈ federal taxable income + federal deduction − NJ exemptions. For precision (e.g., pensions, Social Security, retirement exclusion) enter the NJ override on Client Input.</t>
  </si>
  <si>
    <t xml:space="preserve">6. Capital gains are entered as net gains ≥ 0. Capital losses, the $3,000 loss limit, carryovers, AMT, credits, phase-outs (e.g., OBBBA senior deduction, SALT cap phase-down) and state credits are not modeled.</t>
  </si>
  <si>
    <t xml:space="preserve">7. Foreign tax credit, §199A REIT dividends, and 25%/28% rate gains are not modeled.</t>
  </si>
  <si>
    <t xml:space="preserve">9. SOURCES (tax year 2026)</t>
  </si>
  <si>
    <t xml:space="preserve">• IRS Rev. Proc. 2025-32 – 2026 inflation-adjusted brackets, standard deduction, capital-gain breakpoints (incl. One Big Beautiful Bill Act, Pub. L. 119-21). IRS news release, Oct. 2025.</t>
  </si>
  <si>
    <t xml:space="preserve">• Internal Revenue Code §1(h) (capital gains/qualified dividends); §1411 &amp; Form 8960 instructions (NIIT); Form 1040 Instructions – Qualified Dividends and Capital Gain Tax Worksheet.</t>
  </si>
  <si>
    <t xml:space="preserve">• N.J.S.A. 54A:2-1 (NJ rates), 54A:3-1 (exemptions), 54A:5-1 (income categories), 54A:6-14 &amp; 6-14.1 (exempt obligations; qualified investment funds), 54A:8-3.1 (filing threshold).</t>
  </si>
  <si>
    <t xml:space="preserve">• NJ Division of Taxation – NJ-1040 Instructions &amp; Tax Rate Schedules; GIT-5 (Exempt Obligations); 31 U.S.C. §3124 (federal obligations exempt from state tax).</t>
  </si>
  <si>
    <t xml:space="preserve">• Figures were current as of September 2026. Verify against the final IRS and NJ Division of Taxation releases before relying on the results, and update this tab each year.</t>
  </si>
  <si>
    <t xml:space="preserve">Test Cases – Formula Verification (2026 rules)</t>
  </si>
  <si>
    <t xml:space="preserve">Each case was entered on Client Input and recalculated; results were compared with an independent hand/Python bracket calculation. Values below are a static record, not live formulas.</t>
  </si>
  <si>
    <t xml:space="preserve">#</t>
  </si>
  <si>
    <t xml:space="preserve">Scenario</t>
  </si>
  <si>
    <t xml:space="preserve">Status</t>
  </si>
  <si>
    <t xml:space="preserve">Existing TI</t>
  </si>
  <si>
    <t xml:space="preserve">QD</t>
  </si>
  <si>
    <t xml:space="preserve">Non-qual div</t>
  </si>
  <si>
    <t xml:space="preserve">Money mkt</t>
  </si>
  <si>
    <t xml:space="preserve">Bank/CD</t>
  </si>
  <si>
    <t xml:space="preserve">Other int.</t>
  </si>
  <si>
    <t xml:space="preserve">Treasury</t>
  </si>
  <si>
    <t xml:space="preserve">Muni</t>
  </si>
  <si>
    <t xml:space="preserve">% NJ munis</t>
  </si>
  <si>
    <t xml:space="preserve">STCG</t>
  </si>
  <si>
    <t xml:space="preserve">LTCG</t>
  </si>
  <si>
    <t xml:space="preserve">Fed income tax</t>
  </si>
  <si>
    <t xml:space="preserve">NIIT</t>
  </si>
  <si>
    <t xml:space="preserve">NJ tax</t>
  </si>
  <si>
    <t xml:space="preserve">Total tax</t>
  </si>
  <si>
    <t xml:space="preserve">After-tax</t>
  </si>
  <si>
    <t xml:space="preserve">Eff. rate</t>
  </si>
  <si>
    <t xml:space="preserve">Independent check – total tax</t>
  </si>
  <si>
    <t xml:space="preserve">Match?</t>
  </si>
  <si>
    <t xml:space="preserve">Single, $100k TI + $20k qualified dividends</t>
  </si>
  <si>
    <t xml:space="preserve">✓ Match</t>
  </si>
  <si>
    <t xml:space="preserve">MFJ, $150k TI + $50k mixed (QD, non-qual div, money mkt, CD, LTCG)</t>
  </si>
  <si>
    <t xml:space="preserve">High income MFJ – NIIT applies ($400k TI; QD, interest, LTCG)</t>
  </si>
  <si>
    <t xml:space="preserve">Single with U.S. Treasury interest ($80k TI; $15k Treasuries, $5k CD)</t>
  </si>
  <si>
    <t xml:space="preserve">MFJ with municipal interest ($120k TI; $25k munis – 60% NJ issuers; $5k QD)</t>
  </si>
  <si>
    <t xml:space="preserve">Head of Household with ST &amp; LT gains ($90k TI; $15k STCG, $30k LTCG)</t>
  </si>
  <si>
    <t xml:space="preserve">Spec example: Single, $100k TI + $20k QD + $10k interest</t>
  </si>
  <si>
    <t xml:space="preserve">MFS, low income – 0% LTCG tier &amp; NJ threshold ($5k TI; $20k LTCG, 1 dependent)</t>
  </si>
  <si>
    <t xml:space="preserve">Single, very high income – 20% tier, 37% bracket, NJ 10.75% ($900k TI; $150k QD, $50k int, $200k LTCG)</t>
  </si>
  <si>
    <t xml:space="preserve">Hand check – Case 1 (Single, $100,000 TI + $20,000 QD): ordinary tax on $100,000 = $1,240 + $4,560 + $10,912 = $16,712 (unchanged by QD); QD sit wholly in the 15% tier (TI $120,000 is between $49,450 and $545,500) → $3,000. MAGI ≈ $136,100 &lt; $200,000 → no NIIT. NJ: taxable ≈ $100,000 + $16,100 − $1,000 = $115,100, in the 6.37% bracket → $20,000 × 6.37% = $1,274. Total $4,274 (21.4%).</t>
  </si>
  <si>
    <t xml:space="preserve">Case 3 shows NIIT: MAGI ≈ $400,000 + $32,200 + $200,000 = $632,200; excess over $250,000 exceeds NII, so NIIT = 3.8% × $200,000 = $7,600.</t>
  </si>
  <si>
    <t xml:space="preserve">Case 4 shows Treasury interest taxed federally (ordinary) but excluded from NJ income; Case 5 shows municipal interest excluded federally, with only the out-of-state share taxed by NJ.</t>
  </si>
</sst>
</file>

<file path=xl/styles.xml><?xml version="1.0" encoding="utf-8"?>
<styleSheet xmlns="http://schemas.openxmlformats.org/spreadsheetml/2006/main">
  <numFmts count="12">
    <numFmt numFmtId="164" formatCode="General"/>
    <numFmt numFmtId="165" formatCode="@"/>
    <numFmt numFmtId="166" formatCode="0"/>
    <numFmt numFmtId="167" formatCode="\$#,##0;&quot;($&quot;#,##0\);\-"/>
    <numFmt numFmtId="168" formatCode="0%"/>
    <numFmt numFmtId="169" formatCode="0.0%"/>
    <numFmt numFmtId="170" formatCode="[&gt;=1000000000000]&quot;and above&quot;;\$#,##0"/>
    <numFmt numFmtId="171" formatCode="\$#,##0.00;&quot;($&quot;#,##0.00\);\-"/>
    <numFmt numFmtId="172" formatCode="0.0%;\(0.0%\);\-"/>
    <numFmt numFmtId="173" formatCode="0.000%"/>
    <numFmt numFmtId="174" formatCode="[&gt;=1000000000000]&quot;n/a&quot;;\$#,##0"/>
    <numFmt numFmtId="175" formatCode="0.00%"/>
  </numFmts>
  <fonts count="21">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name val="Arial"/>
      <family val="0"/>
      <charset val="1"/>
    </font>
    <font>
      <sz val="10"/>
      <color rgb="FF0000FF"/>
      <name val="Arial"/>
      <family val="0"/>
      <charset val="1"/>
    </font>
    <font>
      <sz val="10"/>
      <color rgb="FF000000"/>
      <name val="Arial"/>
      <family val="0"/>
      <charset val="1"/>
    </font>
    <font>
      <b val="true"/>
      <sz val="9"/>
      <color rgb="FF1F3864"/>
      <name val="Arial"/>
      <family val="0"/>
      <charset val="1"/>
    </font>
    <font>
      <b val="true"/>
      <sz val="10"/>
      <color rgb="FFFFFFFF"/>
      <name val="Arial"/>
      <family val="0"/>
      <charset val="1"/>
    </font>
    <font>
      <sz val="10"/>
      <name val="Arial"/>
      <family val="0"/>
      <charset val="1"/>
    </font>
    <font>
      <i val="true"/>
      <sz val="8"/>
      <color rgb="FF595959"/>
      <name val="Arial"/>
      <family val="0"/>
      <charset val="1"/>
    </font>
    <font>
      <b val="true"/>
      <sz val="10"/>
      <color rgb="FF000000"/>
      <name val="Arial"/>
      <family val="0"/>
      <charset val="1"/>
    </font>
    <font>
      <b val="true"/>
      <sz val="11"/>
      <name val="Arial"/>
      <family val="0"/>
      <charset val="1"/>
    </font>
    <font>
      <sz val="10"/>
      <color rgb="FF008000"/>
      <name val="Arial"/>
      <family val="0"/>
      <charset val="1"/>
    </font>
    <font>
      <b val="true"/>
      <sz val="18"/>
      <color rgb="FF1F3864"/>
      <name val="Arial"/>
      <family val="0"/>
      <charset val="1"/>
    </font>
    <font>
      <sz val="10"/>
      <color rgb="FF595959"/>
      <name val="Arial"/>
      <family val="0"/>
      <charset val="1"/>
    </font>
    <font>
      <b val="true"/>
      <sz val="11"/>
      <color rgb="FF000000"/>
      <name val="Arial"/>
      <family val="0"/>
      <charset val="1"/>
    </font>
    <font>
      <b val="true"/>
      <sz val="10"/>
      <color rgb="FF1F3864"/>
      <name val="Arial"/>
      <family val="0"/>
      <charset val="1"/>
    </font>
    <font>
      <i val="true"/>
      <sz val="9"/>
      <color rgb="FF404040"/>
      <name val="Arial"/>
      <family val="0"/>
      <charset val="1"/>
    </font>
  </fonts>
  <fills count="8">
    <fill>
      <patternFill patternType="none"/>
    </fill>
    <fill>
      <patternFill patternType="gray125"/>
    </fill>
    <fill>
      <patternFill patternType="solid">
        <fgColor rgb="FFFFF2CC"/>
        <bgColor rgb="FFF2F2F2"/>
      </patternFill>
    </fill>
    <fill>
      <patternFill patternType="solid">
        <fgColor rgb="FFF2F2F2"/>
        <bgColor rgb="FFE2EFDA"/>
      </patternFill>
    </fill>
    <fill>
      <patternFill patternType="solid">
        <fgColor rgb="FFDDEBF7"/>
        <bgColor rgb="FFD9E1F2"/>
      </patternFill>
    </fill>
    <fill>
      <patternFill patternType="solid">
        <fgColor rgb="FFD9E1F2"/>
        <bgColor rgb="FFDDEBF7"/>
      </patternFill>
    </fill>
    <fill>
      <patternFill patternType="solid">
        <fgColor rgb="FF1F3864"/>
        <bgColor rgb="FF333399"/>
      </patternFill>
    </fill>
    <fill>
      <patternFill patternType="solid">
        <fgColor rgb="FFE2EFDA"/>
        <bgColor rgb="FFDDEBF7"/>
      </patternFill>
    </fill>
  </fills>
  <borders count="6">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right/>
      <top style="thin"/>
      <bottom style="double"/>
      <diagonal/>
    </border>
    <border diagonalUp="false" diagonalDown="false">
      <left style="thin">
        <color rgb="FFBFBFBF"/>
      </left>
      <right/>
      <top style="thin">
        <color rgb="FFBFBFBF"/>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0" fillId="6" borderId="0" xfId="0" applyFont="true" applyBorder="true" applyAlignment="true" applyProtection="false">
      <alignment horizontal="left" vertical="center" textRotation="0" wrapText="false" indent="1"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5" fontId="7" fillId="2" borderId="1" xfId="0" applyFont="true" applyBorder="true" applyAlignment="true" applyProtection="true">
      <alignment horizontal="right" vertical="bottom" textRotation="0" wrapText="false" indent="0" shrinkToFit="false"/>
      <protection locked="false" hidden="false"/>
    </xf>
    <xf numFmtId="165" fontId="8" fillId="3" borderId="1" xfId="0" applyFont="true" applyBorder="tru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6" fontId="7" fillId="2" borderId="1" xfId="0" applyFont="true" applyBorder="true" applyAlignment="true" applyProtection="true">
      <alignment horizontal="right" vertical="bottom" textRotation="0" wrapText="false" indent="0" shrinkToFit="false"/>
      <protection locked="false" hidden="false"/>
    </xf>
    <xf numFmtId="167" fontId="7" fillId="2" borderId="1" xfId="0" applyFont="true" applyBorder="true" applyAlignment="true" applyProtection="true">
      <alignment horizontal="right" vertical="bottom" textRotation="0" wrapText="false" indent="0" shrinkToFit="false"/>
      <protection locked="false" hidden="false"/>
    </xf>
    <xf numFmtId="168" fontId="7" fillId="2" borderId="1" xfId="0" applyFont="true" applyBorder="true" applyAlignment="true" applyProtection="true">
      <alignment horizontal="right" vertical="bottom" textRotation="0" wrapText="false" indent="0" shrinkToFit="false"/>
      <protection locked="false" hidden="false"/>
    </xf>
    <xf numFmtId="167" fontId="8" fillId="3" borderId="1" xfId="0" applyFont="true" applyBorder="true" applyAlignment="true" applyProtection="false">
      <alignment horizontal="right"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7" fontId="13" fillId="7" borderId="1" xfId="0" applyFont="true" applyBorder="true" applyAlignment="true" applyProtection="false">
      <alignment horizontal="right" vertical="bottom" textRotation="0" wrapText="false" indent="0" shrinkToFit="false"/>
      <protection locked="true" hidden="false"/>
    </xf>
    <xf numFmtId="164" fontId="14" fillId="3" borderId="2" xfId="0" applyFont="true" applyBorder="tru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true" applyProtection="false">
      <alignment horizontal="right" vertical="bottom" textRotation="0" wrapText="false" indent="0" shrinkToFit="false"/>
      <protection locked="true" hidden="false"/>
    </xf>
    <xf numFmtId="167" fontId="15" fillId="3" borderId="1" xfId="0" applyFont="true" applyBorder="true" applyAlignment="true" applyProtection="false">
      <alignment horizontal="right" vertical="bottom" textRotation="0" wrapText="false" indent="0" shrinkToFit="false"/>
      <protection locked="true" hidden="false"/>
    </xf>
    <xf numFmtId="168" fontId="15" fillId="3" borderId="1" xfId="0" applyFont="true" applyBorder="true" applyAlignment="true" applyProtection="false">
      <alignment horizontal="right" vertical="bottom" textRotation="0" wrapText="false" indent="0" shrinkToFit="false"/>
      <protection locked="true" hidden="false"/>
    </xf>
    <xf numFmtId="169" fontId="15" fillId="3" borderId="1" xfId="0" applyFont="true" applyBorder="true" applyAlignment="true" applyProtection="false">
      <alignment horizontal="right" vertical="bottom" textRotation="0" wrapText="false" indent="0" shrinkToFit="false"/>
      <protection locked="true" hidden="false"/>
    </xf>
    <xf numFmtId="165" fontId="15" fillId="3" borderId="1" xfId="0" applyFont="true" applyBorder="true" applyAlignment="true" applyProtection="false">
      <alignment horizontal="right"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7" fontId="13" fillId="7" borderId="3" xfId="0" applyFont="true" applyBorder="true" applyAlignment="true" applyProtection="false">
      <alignment horizontal="right" vertical="bottom" textRotation="0" wrapText="false" indent="0" shrinkToFit="false"/>
      <protection locked="true" hidden="false"/>
    </xf>
    <xf numFmtId="170" fontId="8" fillId="3" borderId="1" xfId="0" applyFont="true" applyBorder="true" applyAlignment="true" applyProtection="false">
      <alignment horizontal="right" vertical="bottom" textRotation="0" wrapText="false" indent="0" shrinkToFit="false"/>
      <protection locked="true" hidden="false"/>
    </xf>
    <xf numFmtId="168" fontId="8" fillId="3" borderId="1" xfId="0" applyFont="true" applyBorder="true" applyAlignment="true" applyProtection="false">
      <alignment horizontal="right" vertical="bottom" textRotation="0" wrapText="false" indent="0" shrinkToFit="false"/>
      <protection locked="true" hidden="false"/>
    </xf>
    <xf numFmtId="171" fontId="8" fillId="3" borderId="1" xfId="0" applyFont="true" applyBorder="true" applyAlignment="true" applyProtection="false">
      <alignment horizontal="right" vertical="bottom" textRotation="0" wrapText="false" indent="0" shrinkToFit="false"/>
      <protection locked="true" hidden="false"/>
    </xf>
    <xf numFmtId="167" fontId="13" fillId="3" borderId="3" xfId="0" applyFont="true" applyBorder="true" applyAlignment="true" applyProtection="false">
      <alignment horizontal="right" vertical="bottom" textRotation="0" wrapText="false" indent="0" shrinkToFit="false"/>
      <protection locked="true" hidden="false"/>
    </xf>
    <xf numFmtId="171" fontId="13" fillId="3" borderId="3" xfId="0" applyFont="true" applyBorder="true" applyAlignment="true" applyProtection="false">
      <alignment horizontal="right" vertical="bottom" textRotation="0" wrapText="false" indent="0" shrinkToFit="false"/>
      <protection locked="true" hidden="false"/>
    </xf>
    <xf numFmtId="167" fontId="13" fillId="3" borderId="1" xfId="0" applyFont="true" applyBorder="true" applyAlignment="true" applyProtection="false">
      <alignment horizontal="right" vertical="bottom" textRotation="0" wrapText="false" indent="0" shrinkToFit="false"/>
      <protection locked="true" hidden="false"/>
    </xf>
    <xf numFmtId="171" fontId="13" fillId="7" borderId="1" xfId="0" applyFont="true" applyBorder="true" applyAlignment="true" applyProtection="false">
      <alignment horizontal="right" vertical="bottom" textRotation="0" wrapText="false" indent="0" shrinkToFit="false"/>
      <protection locked="true" hidden="false"/>
    </xf>
    <xf numFmtId="165" fontId="8" fillId="3" borderId="1" xfId="0" applyFont="true" applyBorder="true" applyAlignment="true" applyProtection="false">
      <alignment horizontal="center" vertical="bottom" textRotation="0" wrapText="false" indent="0" shrinkToFit="false"/>
      <protection locked="true" hidden="false"/>
    </xf>
    <xf numFmtId="172" fontId="8" fillId="3" borderId="1" xfId="0" applyFont="true" applyBorder="true" applyAlignment="true" applyProtection="false">
      <alignment horizontal="right" vertical="bottom" textRotation="0" wrapText="false" indent="0" shrinkToFit="false"/>
      <protection locked="true" hidden="false"/>
    </xf>
    <xf numFmtId="171" fontId="13" fillId="7" borderId="3"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3" fontId="15" fillId="3" borderId="1" xfId="0" applyFont="true" applyBorder="true" applyAlignment="true" applyProtection="false">
      <alignment horizontal="right" vertical="bottom" textRotation="0" wrapText="false" indent="0" shrinkToFit="false"/>
      <protection locked="true" hidden="false"/>
    </xf>
    <xf numFmtId="174" fontId="15" fillId="3" borderId="1" xfId="0" applyFont="true" applyBorder="true" applyAlignment="true" applyProtection="false">
      <alignment horizontal="right" vertical="bottom" textRotation="0" wrapText="false" indent="0" shrinkToFit="false"/>
      <protection locked="true" hidden="false"/>
    </xf>
    <xf numFmtId="173" fontId="8" fillId="3" borderId="1" xfId="0" applyFont="true" applyBorder="true" applyAlignment="true" applyProtection="false">
      <alignment horizontal="right"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5" fontId="18" fillId="0" borderId="0" xfId="0" applyFont="true" applyBorder="false" applyAlignment="true" applyProtection="false">
      <alignment horizontal="left" vertical="bottom" textRotation="0" wrapText="false" indent="0" shrinkToFit="false"/>
      <protection locked="true" hidden="false"/>
    </xf>
    <xf numFmtId="164" fontId="19" fillId="3" borderId="4" xfId="0" applyFont="true" applyBorder="true" applyAlignment="true" applyProtection="false">
      <alignment horizontal="center" vertical="center" textRotation="0" wrapText="true" indent="0" shrinkToFit="false"/>
      <protection locked="true" hidden="false"/>
    </xf>
    <xf numFmtId="166" fontId="18" fillId="0" borderId="0" xfId="0" applyFont="true" applyBorder="false" applyAlignment="true" applyProtection="false">
      <alignment horizontal="left"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right" vertical="bottom" textRotation="0" wrapText="false" indent="0" shrinkToFit="false"/>
      <protection locked="true" hidden="false"/>
    </xf>
    <xf numFmtId="164" fontId="6" fillId="0" borderId="5" xfId="0" applyFont="true" applyBorder="true" applyAlignment="false" applyProtection="false">
      <alignment horizontal="general" vertical="bottom" textRotation="0" wrapText="false" indent="0" shrinkToFit="false"/>
      <protection locked="true" hidden="false"/>
    </xf>
    <xf numFmtId="167" fontId="6" fillId="0" borderId="5" xfId="0" applyFont="true" applyBorder="true" applyAlignment="true" applyProtection="false">
      <alignment horizontal="right" vertical="bottom" textRotation="0" wrapText="false" indent="0" shrinkToFit="false"/>
      <protection locked="true" hidden="false"/>
    </xf>
    <xf numFmtId="167" fontId="6" fillId="0" borderId="0" xfId="0" applyFont="true" applyBorder="false" applyAlignment="true" applyProtection="false">
      <alignment horizontal="right" vertical="bottom" textRotation="0" wrapText="false" indent="0" shrinkToFit="false"/>
      <protection locked="true" hidden="false"/>
    </xf>
    <xf numFmtId="172" fontId="6" fillId="0" borderId="0" xfId="0" applyFont="true" applyBorder="false" applyAlignment="true" applyProtection="false">
      <alignment horizontal="right"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7" fontId="6" fillId="0" borderId="3" xfId="0" applyFont="true" applyBorder="true" applyAlignment="true" applyProtection="false">
      <alignment horizontal="right" vertical="bottom" textRotation="0" wrapText="false" indent="0" shrinkToFit="false"/>
      <protection locked="true" hidden="false"/>
    </xf>
    <xf numFmtId="168" fontId="11" fillId="0" borderId="0" xfId="0" applyFont="true" applyBorder="false" applyAlignment="true" applyProtection="false">
      <alignment horizontal="right" vertical="bottom" textRotation="0" wrapText="false" indent="0" shrinkToFit="false"/>
      <protection locked="true" hidden="false"/>
    </xf>
    <xf numFmtId="167" fontId="11" fillId="0" borderId="1" xfId="0" applyFont="true" applyBorder="true" applyAlignment="true" applyProtection="false">
      <alignment horizontal="right" vertical="bottom" textRotation="0" wrapText="false" indent="0" shrinkToFit="false"/>
      <protection locked="true" hidden="false"/>
    </xf>
    <xf numFmtId="165" fontId="11" fillId="0" borderId="0" xfId="0" applyFont="true" applyBorder="false" applyAlignment="true" applyProtection="false">
      <alignment horizontal="right" vertical="bottom" textRotation="0" wrapText="false" indent="0" shrinkToFit="false"/>
      <protection locked="true" hidden="false"/>
    </xf>
    <xf numFmtId="173" fontId="11" fillId="0" borderId="0" xfId="0" applyFont="true" applyBorder="false" applyAlignment="true" applyProtection="false">
      <alignment horizontal="right" vertical="bottom" textRotation="0" wrapText="false" indent="0" shrinkToFit="false"/>
      <protection locked="true" hidden="false"/>
    </xf>
    <xf numFmtId="167" fontId="6" fillId="0" borderId="1" xfId="0" applyFont="true" applyBorder="true" applyAlignment="true" applyProtection="false">
      <alignment horizontal="right" vertical="bottom" textRotation="0" wrapText="false" indent="0" shrinkToFit="false"/>
      <protection locked="true" hidden="false"/>
    </xf>
    <xf numFmtId="172" fontId="6" fillId="0" borderId="1"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20" fillId="0" borderId="4"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6" fontId="7" fillId="4" borderId="1" xfId="0" applyFont="true" applyBorder="true" applyAlignment="true" applyProtection="true">
      <alignment horizontal="right" vertical="bottom" textRotation="0" wrapText="false" indent="0" shrinkToFit="false"/>
      <protection locked="false" hidden="false"/>
    </xf>
    <xf numFmtId="164" fontId="7" fillId="4" borderId="1" xfId="0" applyFont="true" applyBorder="true" applyAlignment="true" applyProtection="true">
      <alignment horizontal="center" vertical="bottom" textRotation="0" wrapText="false" indent="0" shrinkToFit="false"/>
      <protection locked="false" hidden="false"/>
    </xf>
    <xf numFmtId="168" fontId="7" fillId="4" borderId="1" xfId="0" applyFont="true" applyBorder="true" applyAlignment="true" applyProtection="true">
      <alignment horizontal="right" vertical="bottom" textRotation="0" wrapText="false" indent="0" shrinkToFit="false"/>
      <protection locked="false" hidden="false"/>
    </xf>
    <xf numFmtId="167" fontId="7" fillId="4" borderId="1" xfId="0" applyFont="true" applyBorder="true" applyAlignment="true" applyProtection="true">
      <alignment horizontal="right" vertical="bottom" textRotation="0" wrapText="false" indent="0" shrinkToFit="false"/>
      <protection locked="fals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9" fontId="7" fillId="4" borderId="1" xfId="0" applyFont="true" applyBorder="true" applyAlignment="true" applyProtection="true">
      <alignment horizontal="right" vertical="bottom" textRotation="0" wrapText="false" indent="0" shrinkToFit="false"/>
      <protection locked="false" hidden="false"/>
    </xf>
    <xf numFmtId="173" fontId="7" fillId="4" borderId="1" xfId="0" applyFont="true" applyBorder="true" applyAlignment="true" applyProtection="true">
      <alignment horizontal="right" vertical="bottom" textRotation="0" wrapText="false" indent="0" shrinkToFit="false"/>
      <protection locked="fals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center" textRotation="0" wrapText="false" indent="0" shrinkToFit="false"/>
      <protection locked="true" hidden="false"/>
    </xf>
    <xf numFmtId="167" fontId="11" fillId="0" borderId="1" xfId="0" applyFont="true" applyBorder="true" applyAlignment="true" applyProtection="false">
      <alignment horizontal="general" vertical="center" textRotation="0" wrapText="false" indent="0" shrinkToFit="false"/>
      <protection locked="true" hidden="false"/>
    </xf>
    <xf numFmtId="168" fontId="11" fillId="0" borderId="1" xfId="0" applyFont="true" applyBorder="true" applyAlignment="true" applyProtection="false">
      <alignment horizontal="general" vertical="center" textRotation="0" wrapText="false" indent="0" shrinkToFit="false"/>
      <protection locked="true" hidden="false"/>
    </xf>
    <xf numFmtId="171" fontId="11" fillId="0" borderId="1" xfId="0" applyFont="true" applyBorder="true" applyAlignment="true" applyProtection="false">
      <alignment horizontal="general" vertical="center" textRotation="0" wrapText="false" indent="0" shrinkToFit="false"/>
      <protection locked="true" hidden="false"/>
    </xf>
    <xf numFmtId="175" fontId="11" fillId="0"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b val="1"/>
        <color rgb="FF9C0006"/>
      </font>
      <fill>
        <patternFill>
          <bgColor rgb="FFF8CBAD"/>
        </patternFill>
      </fill>
    </dxf>
    <dxf>
      <fill>
        <patternFill>
          <bgColor rgb="FFFFE699"/>
        </patternFill>
      </fill>
    </dxf>
    <dxf>
      <font>
        <name val="Arial"/>
        <charset val="1"/>
        <family val="0"/>
        <color rgb="FF006100"/>
      </font>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2EFDA"/>
      <rgbColor rgb="FFC6EFCE"/>
      <rgbColor rgb="FFFFE699"/>
      <rgbColor rgb="FFF2F2F2"/>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61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E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0"/>
    <col collapsed="false" customWidth="true" hidden="false" outlineLevel="0" max="3" min="3" style="0" width="20"/>
    <col collapsed="false" customWidth="true" hidden="false" outlineLevel="0" max="4" min="4" style="0" width="40"/>
    <col collapsed="false" customWidth="true" hidden="false" outlineLevel="0" max="5" min="5" style="0" width="62"/>
  </cols>
  <sheetData>
    <row r="1" customFormat="false" ht="19.7" hidden="false" customHeight="false" outlineLevel="0" collapsed="false">
      <c r="B1" s="1" t="s">
        <v>0</v>
      </c>
    </row>
    <row r="2" customFormat="false" ht="15" hidden="false" customHeight="false" outlineLevel="0" collapsed="false">
      <c r="B2" s="2" t="s">
        <v>1</v>
      </c>
    </row>
    <row r="3" customFormat="false" ht="15" hidden="false" customHeight="false" outlineLevel="0" collapsed="false">
      <c r="B3" s="3" t="s">
        <v>2</v>
      </c>
      <c r="C3" s="4" t="s">
        <v>3</v>
      </c>
      <c r="D3" s="5" t="s">
        <v>4</v>
      </c>
      <c r="E3" s="6" t="s">
        <v>5</v>
      </c>
    </row>
    <row r="5" customFormat="false" ht="15" hidden="false" customHeight="false" outlineLevel="0" collapsed="false">
      <c r="B5" s="7" t="s">
        <v>6</v>
      </c>
      <c r="C5" s="7" t="s">
        <v>7</v>
      </c>
      <c r="D5" s="7" t="s">
        <v>8</v>
      </c>
      <c r="E5" s="7" t="s">
        <v>9</v>
      </c>
    </row>
    <row r="6" customFormat="false" ht="18" hidden="false" customHeight="true" outlineLevel="0" collapsed="false">
      <c r="B6" s="8" t="s">
        <v>10</v>
      </c>
      <c r="C6" s="8"/>
      <c r="D6" s="8"/>
      <c r="E6" s="8"/>
    </row>
    <row r="7" customFormat="false" ht="15" hidden="false" customHeight="false" outlineLevel="0" collapsed="false">
      <c r="B7" s="9" t="s">
        <v>11</v>
      </c>
      <c r="C7" s="10" t="s">
        <v>12</v>
      </c>
      <c r="D7" s="11" t="str">
        <f aca="false">IF(TRIM(C7)="","MISSING – required","OK")</f>
        <v>OK</v>
      </c>
      <c r="E7" s="12" t="s">
        <v>13</v>
      </c>
    </row>
    <row r="8" customFormat="false" ht="15" hidden="false" customHeight="false" outlineLevel="0" collapsed="false">
      <c r="B8" s="9" t="s">
        <v>14</v>
      </c>
      <c r="C8" s="13" t="n">
        <v>2026</v>
      </c>
      <c r="D8" s="11" t="str">
        <f aca="false">IF(C8="","MISSING – required",IF(C8&lt;&gt;'Tax Tables &amp; Assumptions'!$C$3,"WARNING – tax tables are for "&amp;'Tax Tables &amp; Assumptions'!$C$3,"OK"))</f>
        <v>OK</v>
      </c>
      <c r="E8" s="12" t="s">
        <v>15</v>
      </c>
    </row>
    <row r="9" customFormat="false" ht="15" hidden="false" customHeight="false" outlineLevel="0" collapsed="false">
      <c r="B9" s="9" t="s">
        <v>16</v>
      </c>
      <c r="C9" s="10" t="s">
        <v>17</v>
      </c>
      <c r="D9" s="11" t="str">
        <f aca="false">IF(C9="","MISSING – required",IF(ISNA(MATCH(C9,'Tax Tables &amp; Assumptions'!$D$7:$G$7,0)),"ERROR – choose from list","OK"))</f>
        <v>OK</v>
      </c>
      <c r="E9" s="12" t="s">
        <v>18</v>
      </c>
    </row>
    <row r="10" customFormat="false" ht="15" hidden="false" customHeight="false" outlineLevel="0" collapsed="false">
      <c r="B10" s="9" t="s">
        <v>19</v>
      </c>
      <c r="C10" s="10" t="s">
        <v>20</v>
      </c>
      <c r="D10" s="11" t="str">
        <f aca="false">IF(C10="","MISSING – required",IF(C10="No","WARNING – NJ tax set to $0 (non-resident)","OK"))</f>
        <v>OK</v>
      </c>
      <c r="E10" s="12" t="s">
        <v>21</v>
      </c>
    </row>
    <row r="11" customFormat="false" ht="15" hidden="false" customHeight="false" outlineLevel="0" collapsed="false">
      <c r="B11" s="9" t="s">
        <v>22</v>
      </c>
      <c r="C11" s="13" t="n">
        <v>0</v>
      </c>
      <c r="D11" s="11" t="str">
        <f aca="false">IF(C11="","OK (blank = 0)",IF(NOT(ISNUMBER(C11)),"ERROR – must be a number",IF(OR(C11&lt;0,C11&lt;&gt;INT(C11)),"ERROR – whole number ≥ 0","OK")))</f>
        <v>OK</v>
      </c>
      <c r="E11" s="12" t="s">
        <v>23</v>
      </c>
    </row>
    <row r="13" customFormat="false" ht="18" hidden="false" customHeight="true" outlineLevel="0" collapsed="false">
      <c r="B13" s="8" t="s">
        <v>24</v>
      </c>
      <c r="C13" s="8"/>
      <c r="D13" s="8"/>
      <c r="E13" s="8"/>
    </row>
    <row r="14" customFormat="false" ht="30" hidden="false" customHeight="true" outlineLevel="0" collapsed="false">
      <c r="B14" s="9" t="s">
        <v>25</v>
      </c>
      <c r="C14" s="14" t="n">
        <v>150000</v>
      </c>
      <c r="D14" s="11" t="str">
        <f aca="false">IF(C14="","MISSING – required (enter 0 if none)",IF(NOT(ISNUMBER(C14)),"ERROR – must be a number",IF(C14&lt;0,"ERROR – cannot be negative","OK")))</f>
        <v>OK</v>
      </c>
      <c r="E14" s="12" t="s">
        <v>26</v>
      </c>
    </row>
    <row r="15" customFormat="false" ht="30" hidden="false" customHeight="true" outlineLevel="0" collapsed="false">
      <c r="B15" s="9" t="s">
        <v>27</v>
      </c>
      <c r="C15" s="14"/>
      <c r="D15" s="11" t="str">
        <f aca="false">IF(C15="","OK (blank = standard deduction)",IF(NOT(ISNUMBER(C15)),"ERROR – must be a number",IF(C15&lt;0,"ERROR – cannot be negative","OK")))</f>
        <v>OK (blank = standard deduction)</v>
      </c>
      <c r="E15" s="12" t="s">
        <v>28</v>
      </c>
    </row>
    <row r="16" customFormat="false" ht="30" hidden="false" customHeight="true" outlineLevel="0" collapsed="false">
      <c r="B16" s="9" t="s">
        <v>29</v>
      </c>
      <c r="C16" s="14"/>
      <c r="D16" s="11" t="str">
        <f aca="false">IF(C16="","OK (blank = estimated automatically)",IF(NOT(ISNUMBER(C16)),"ERROR – must be a number",IF(C16&lt;0,"ERROR – cannot be negative","OK")))</f>
        <v>OK (blank = estimated automatically)</v>
      </c>
      <c r="E16" s="12" t="s">
        <v>30</v>
      </c>
    </row>
    <row r="18" customFormat="false" ht="18" hidden="false" customHeight="true" outlineLevel="0" collapsed="false">
      <c r="B18" s="8" t="s">
        <v>31</v>
      </c>
      <c r="C18" s="8"/>
      <c r="D18" s="8"/>
      <c r="E18" s="8"/>
    </row>
    <row r="19" customFormat="false" ht="15" hidden="false" customHeight="false" outlineLevel="0" collapsed="false">
      <c r="B19" s="9" t="s">
        <v>32</v>
      </c>
      <c r="C19" s="14" t="n">
        <v>20000</v>
      </c>
      <c r="D19" s="11" t="str">
        <f aca="false">IF(C19="","OK (blank = $0)",IF(NOT(ISNUMBER(C19)),"ERROR – must be a number",IF(C19&lt;0,"ERROR – cannot be negative","OK")))</f>
        <v>OK</v>
      </c>
      <c r="E19" s="12" t="s">
        <v>33</v>
      </c>
    </row>
    <row r="20" customFormat="false" ht="15" hidden="false" customHeight="false" outlineLevel="0" collapsed="false">
      <c r="B20" s="9" t="s">
        <v>34</v>
      </c>
      <c r="C20" s="14" t="n">
        <v>5000</v>
      </c>
      <c r="D20" s="11" t="str">
        <f aca="false">IF(C20="","OK (blank = $0)",IF(NOT(ISNUMBER(C20)),"ERROR – must be a number",IF(C20&lt;0,"ERROR – cannot be negative","OK")))</f>
        <v>OK</v>
      </c>
      <c r="E20" s="12" t="s">
        <v>35</v>
      </c>
    </row>
    <row r="21" customFormat="false" ht="15" hidden="false" customHeight="false" outlineLevel="0" collapsed="false">
      <c r="B21" s="9" t="s">
        <v>36</v>
      </c>
      <c r="C21" s="14" t="n">
        <v>5000</v>
      </c>
      <c r="D21" s="11" t="str">
        <f aca="false">IF(C21="","OK (blank = $0)",IF(NOT(ISNUMBER(C21)),"ERROR – must be a number",IF(C21&lt;0,"ERROR – cannot be negative","OK")))</f>
        <v>OK</v>
      </c>
      <c r="E21" s="12" t="s">
        <v>37</v>
      </c>
    </row>
    <row r="22" customFormat="false" ht="15" hidden="false" customHeight="false" outlineLevel="0" collapsed="false">
      <c r="B22" s="9" t="s">
        <v>38</v>
      </c>
      <c r="C22" s="14" t="n">
        <v>10000</v>
      </c>
      <c r="D22" s="11" t="str">
        <f aca="false">IF(C22="","OK (blank = $0)",IF(NOT(ISNUMBER(C22)),"ERROR – must be a number",IF(C22&lt;0,"ERROR – cannot be negative","OK")))</f>
        <v>OK</v>
      </c>
      <c r="E22" s="12" t="s">
        <v>39</v>
      </c>
    </row>
    <row r="23" customFormat="false" ht="15" hidden="false" customHeight="false" outlineLevel="0" collapsed="false">
      <c r="B23" s="9" t="s">
        <v>40</v>
      </c>
      <c r="C23" s="14" t="n">
        <v>0</v>
      </c>
      <c r="D23" s="11" t="str">
        <f aca="false">IF(C23="","OK (blank = $0)",IF(NOT(ISNUMBER(C23)),"ERROR – must be a number",IF(C23&lt;0,"ERROR – cannot be negative","OK")))</f>
        <v>OK</v>
      </c>
      <c r="E23" s="12" t="s">
        <v>39</v>
      </c>
    </row>
    <row r="24" customFormat="false" ht="15" hidden="false" customHeight="false" outlineLevel="0" collapsed="false">
      <c r="B24" s="9" t="s">
        <v>41</v>
      </c>
      <c r="C24" s="14" t="n">
        <v>0</v>
      </c>
      <c r="D24" s="11" t="str">
        <f aca="false">IF(C24="","OK (blank = $0)",IF(NOT(ISNUMBER(C24)),"ERROR – must be a number",IF(C24&lt;0,"ERROR – cannot be negative","OK")))</f>
        <v>OK</v>
      </c>
      <c r="E24" s="12" t="s">
        <v>42</v>
      </c>
    </row>
    <row r="25" customFormat="false" ht="30" hidden="false" customHeight="true" outlineLevel="0" collapsed="false">
      <c r="B25" s="9" t="s">
        <v>43</v>
      </c>
      <c r="C25" s="14" t="n">
        <v>0</v>
      </c>
      <c r="D25" s="11" t="str">
        <f aca="false">IF(C25="","OK (blank = $0)",IF(NOT(ISNUMBER(C25)),"ERROR – must be a number",IF(C25&lt;0,"ERROR – cannot be negative","OK")))</f>
        <v>OK</v>
      </c>
      <c r="E25" s="12" t="s">
        <v>44</v>
      </c>
    </row>
    <row r="26" customFormat="false" ht="15" hidden="false" customHeight="false" outlineLevel="0" collapsed="false">
      <c r="B26" s="9" t="s">
        <v>45</v>
      </c>
      <c r="C26" s="14" t="n">
        <v>0</v>
      </c>
      <c r="D26" s="11" t="str">
        <f aca="false">IF(C26="","OK (blank = $0)",IF(NOT(ISNUMBER(C26)),"ERROR – must be a number",IF(C26&lt;0,"ERROR – cannot be negative","OK")))</f>
        <v>OK</v>
      </c>
      <c r="E26" s="12" t="s">
        <v>46</v>
      </c>
    </row>
    <row r="27" customFormat="false" ht="15" hidden="false" customHeight="false" outlineLevel="0" collapsed="false">
      <c r="B27" s="9" t="s">
        <v>47</v>
      </c>
      <c r="C27" s="14" t="n">
        <v>10000</v>
      </c>
      <c r="D27" s="11" t="str">
        <f aca="false">IF(C27="","OK (blank = $0)",IF(NOT(ISNUMBER(C27)),"ERROR – must be a number",IF(C27&lt;0,"ERROR – cannot be negative","OK")))</f>
        <v>OK</v>
      </c>
      <c r="E27" s="12" t="s">
        <v>48</v>
      </c>
    </row>
    <row r="29" customFormat="false" ht="18" hidden="false" customHeight="true" outlineLevel="0" collapsed="false">
      <c r="B29" s="8" t="s">
        <v>49</v>
      </c>
      <c r="C29" s="8"/>
      <c r="D29" s="8"/>
      <c r="E29" s="8"/>
    </row>
    <row r="30" customFormat="false" ht="30" hidden="false" customHeight="true" outlineLevel="0" collapsed="false">
      <c r="B30" s="9" t="s">
        <v>50</v>
      </c>
      <c r="C30" s="15" t="n">
        <v>0</v>
      </c>
      <c r="D30" s="11" t="str">
        <f aca="false">IF(C30="","OK (blank = 0%)",IF(NOT(ISNUMBER(C30)),"ERROR – must be a %",IF(OR(C30&lt;0,C30&gt;1),"ERROR – must be 0% to 100%","OK")))</f>
        <v>OK</v>
      </c>
      <c r="E30" s="12" t="s">
        <v>51</v>
      </c>
    </row>
    <row r="31" customFormat="false" ht="30" hidden="false" customHeight="true" outlineLevel="0" collapsed="false">
      <c r="B31" s="9" t="s">
        <v>52</v>
      </c>
      <c r="C31" s="15" t="n">
        <v>1</v>
      </c>
      <c r="D31" s="11" t="str">
        <f aca="false">IF(C31="","OK (blank = 0% NJ issuers)",IF(NOT(ISNUMBER(C31)),"ERROR – must be a %",IF(OR(C31&lt;0,C31&gt;1),"ERROR – must be 0% to 100%","OK")))</f>
        <v>OK</v>
      </c>
      <c r="E31" s="12" t="s">
        <v>53</v>
      </c>
    </row>
    <row r="33" customFormat="false" ht="18" hidden="false" customHeight="true" outlineLevel="0" collapsed="false">
      <c r="B33" s="8" t="s">
        <v>54</v>
      </c>
      <c r="C33" s="8"/>
      <c r="D33" s="8"/>
      <c r="E33" s="8"/>
    </row>
    <row r="34" customFormat="false" ht="25.5" hidden="false" customHeight="true" outlineLevel="0" collapsed="false">
      <c r="B34" s="9" t="s">
        <v>55</v>
      </c>
      <c r="C34" s="16" t="n">
        <f aca="false">SUM(C20:C24)</f>
        <v>20000</v>
      </c>
      <c r="E34" s="12" t="s">
        <v>56</v>
      </c>
    </row>
    <row r="35" customFormat="false" ht="15" hidden="false" customHeight="false" outlineLevel="0" collapsed="false">
      <c r="B35" s="9" t="s">
        <v>57</v>
      </c>
      <c r="C35" s="16" t="n">
        <f aca="false">C19</f>
        <v>20000</v>
      </c>
      <c r="E35" s="12" t="s">
        <v>58</v>
      </c>
    </row>
    <row r="36" customFormat="false" ht="15" hidden="false" customHeight="false" outlineLevel="0" collapsed="false">
      <c r="B36" s="9" t="s">
        <v>59</v>
      </c>
      <c r="C36" s="16" t="n">
        <f aca="false">C26</f>
        <v>0</v>
      </c>
      <c r="E36" s="12" t="s">
        <v>60</v>
      </c>
    </row>
    <row r="37" customFormat="false" ht="15" hidden="false" customHeight="false" outlineLevel="0" collapsed="false">
      <c r="B37" s="9" t="s">
        <v>61</v>
      </c>
      <c r="C37" s="16" t="n">
        <f aca="false">C27</f>
        <v>10000</v>
      </c>
      <c r="E37" s="12" t="s">
        <v>58</v>
      </c>
    </row>
    <row r="38" customFormat="false" ht="15" hidden="false" customHeight="false" outlineLevel="0" collapsed="false">
      <c r="B38" s="9" t="s">
        <v>62</v>
      </c>
      <c r="C38" s="16" t="n">
        <f aca="false">C34+C35+C36+C37</f>
        <v>50000</v>
      </c>
      <c r="E38" s="12" t="s">
        <v>63</v>
      </c>
    </row>
    <row r="39" customFormat="false" ht="15" hidden="false" customHeight="false" outlineLevel="0" collapsed="false">
      <c r="B39" s="9" t="s">
        <v>64</v>
      </c>
      <c r="C39" s="16" t="n">
        <f aca="false">C25</f>
        <v>0</v>
      </c>
      <c r="E39" s="12" t="s">
        <v>65</v>
      </c>
    </row>
    <row r="40" customFormat="false" ht="15" hidden="false" customHeight="false" outlineLevel="0" collapsed="false">
      <c r="B40" s="17" t="s">
        <v>66</v>
      </c>
      <c r="C40" s="18" t="n">
        <f aca="false">C38+C39</f>
        <v>50000</v>
      </c>
      <c r="D40" s="11" t="str">
        <f aca="false">IF(C40=0,"WARNING – no investment income entered","OK")</f>
        <v>OK</v>
      </c>
      <c r="E40" s="12" t="s">
        <v>67</v>
      </c>
    </row>
    <row r="42" customFormat="false" ht="15" hidden="false" customHeight="false" outlineLevel="0" collapsed="false">
      <c r="B42" s="3" t="s">
        <v>68</v>
      </c>
      <c r="C42" s="19" t="str">
        <f aca="false">IF(COUNTIF(D7:D40,"ERROR*")&gt;0,"⚠ INPUT ERRORS – correct the cells flagged in column D",IF(COUNTIF(D7:D40,"MISSING*")&gt;0,"⚠ REQUIRED INFORMATION MISSING – see column D",IF(COUNTIF(D7:D40,"WARNING*")&gt;0,"✓ Complete, with warnings (column D) – results are ESTIMATES","✓ Inputs complete – results are ESTIMATES only")))</f>
        <v>✓ Inputs complete – results are ESTIMATES only</v>
      </c>
      <c r="D42" s="19"/>
      <c r="E42" s="19"/>
    </row>
    <row r="44" customFormat="false" ht="15" hidden="false" customHeight="false" outlineLevel="0" collapsed="false">
      <c r="B44" s="20" t="s">
        <v>69</v>
      </c>
    </row>
  </sheetData>
  <sheetProtection sheet="true" formatColumns="false" formatRows="false"/>
  <mergeCells count="6">
    <mergeCell ref="B6:E6"/>
    <mergeCell ref="B13:E13"/>
    <mergeCell ref="B18:E18"/>
    <mergeCell ref="B29:E29"/>
    <mergeCell ref="B33:E33"/>
    <mergeCell ref="C42:E42"/>
  </mergeCells>
  <conditionalFormatting sqref="D7:D40">
    <cfRule type="expression" priority="2" aboveAverage="0" equalAverage="0" bottom="0" percent="0" rank="0" text="" dxfId="0">
      <formula>OR(LEFT(D7,5)="ERROR",LEFT(D7,7)="MISSING",LEFT(D7,1)="⚠")</formula>
    </cfRule>
    <cfRule type="expression" priority="3" aboveAverage="0" equalAverage="0" bottom="0" percent="0" rank="0" text="" dxfId="1">
      <formula>OR(LEFT(D7,7)="WARNING",ISNUMBER(SEARCH("warnings",D7)))</formula>
    </cfRule>
    <cfRule type="expression" priority="4" aboveAverage="0" equalAverage="0" bottom="0" percent="0" rank="0" text="" dxfId="2">
      <formula>OR(LEFT(D7,2)="OK",LEFT(D7,1)="✓")</formula>
    </cfRule>
  </conditionalFormatting>
  <conditionalFormatting sqref="C42">
    <cfRule type="expression" priority="5" aboveAverage="0" equalAverage="0" bottom="0" percent="0" rank="0" text="" dxfId="0">
      <formula>OR(LEFT(C42,5)="ERROR",LEFT(C42,7)="MISSING",LEFT(C42,1)="⚠")</formula>
    </cfRule>
    <cfRule type="expression" priority="6" aboveAverage="0" equalAverage="0" bottom="0" percent="0" rank="0" text="" dxfId="1">
      <formula>OR(LEFT(C42,7)="WARNING",ISNUMBER(SEARCH("warnings",C42)))</formula>
    </cfRule>
    <cfRule type="expression" priority="7" aboveAverage="0" equalAverage="0" bottom="0" percent="0" rank="0" text="" dxfId="2">
      <formula>OR(LEFT(C42,2)="OK",LEFT(C42,1)="✓")</formula>
    </cfRule>
  </conditionalFormatting>
  <dataValidations count="6">
    <dataValidation allowBlank="false" error="Choose a filing status from the list." errorStyle="stop" errorTitle="Filing status" operator="between" showDropDown="false" showErrorMessage="true" showInputMessage="false" sqref="C9" type="list">
      <formula1>"Single,Married Filing Jointly,Married Filing Separately,Head of Household"</formula1>
      <formula2>0</formula2>
    </dataValidation>
    <dataValidation allowBlank="false" error="Choose Yes or No." errorStyle="stop" errorTitle="NJ resident" operator="between" showDropDown="false" showErrorMessage="true" showInputMessage="false" sqref="C10" type="list">
      <formula1>"Yes,No"</formula1>
      <formula2>0</formula2>
    </dataValidation>
    <dataValidation allowBlank="true" error="Enter a dollar amount of 0 or more (no negatives)." errorStyle="stop" errorTitle="Invalid amount" operator="greaterThanOrEqual" showDropDown="false" showErrorMessage="true" showInputMessage="false" sqref="C14:C16 C19:C27" type="decimal">
      <formula1>0</formula1>
      <formula2>0</formula2>
    </dataValidation>
    <dataValidation allowBlank="true" error="Enter 0% to 100%." errorStyle="stop" errorTitle="Invalid percentage" operator="between" showDropDown="false" showErrorMessage="true" showInputMessage="false" sqref="C30:C31" type="decimal">
      <formula1>0</formula1>
      <formula2>1</formula2>
    </dataValidation>
    <dataValidation allowBlank="false" error="Enter a 4-digit tax year." errorStyle="stop" errorTitle="Tax year" operator="between" showDropDown="false" showErrorMessage="true" showInputMessage="false" sqref="C8" type="whole">
      <formula1>2020</formula1>
      <formula2>2100</formula2>
    </dataValidation>
    <dataValidation allowBlank="true" error="Enter a whole number 0–20." errorStyle="stop" errorTitle="Dependents" operator="between" showDropDown="false" showErrorMessage="true" showInputMessage="false" sqref="C11" type="whole">
      <formula1>0</formula1>
      <formula2>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J1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9" min="3" style="0" width="17"/>
    <col collapsed="false" customWidth="true" hidden="false" outlineLevel="0" max="10" min="10" style="0" width="50"/>
  </cols>
  <sheetData>
    <row r="1" customFormat="false" ht="19.7" hidden="false" customHeight="false" outlineLevel="0" collapsed="false">
      <c r="B1" s="1" t="s">
        <v>70</v>
      </c>
    </row>
    <row r="2" customFormat="false" ht="15" hidden="false" customHeight="false" outlineLevel="0" collapsed="false">
      <c r="B2" s="2" t="s">
        <v>71</v>
      </c>
    </row>
    <row r="4" customFormat="false" ht="18" hidden="false" customHeight="true" outlineLevel="0" collapsed="false">
      <c r="B4" s="8" t="s">
        <v>72</v>
      </c>
      <c r="C4" s="8"/>
      <c r="D4" s="8"/>
      <c r="E4" s="8"/>
      <c r="F4" s="8"/>
      <c r="G4" s="8"/>
      <c r="H4" s="8"/>
      <c r="I4" s="8"/>
      <c r="J4" s="8"/>
    </row>
    <row r="5" customFormat="false" ht="15" hidden="false" customHeight="false" outlineLevel="0" collapsed="false">
      <c r="B5" s="21" t="s">
        <v>73</v>
      </c>
      <c r="C5" s="22" t="n">
        <f aca="false">IFERROR(MATCH('Client Input'!$C$9,'Tax Tables &amp; Assumptions'!$D$7:$G$7,0),1)</f>
        <v>2</v>
      </c>
      <c r="D5" s="20" t="s">
        <v>74</v>
      </c>
    </row>
    <row r="6" customFormat="false" ht="15" hidden="false" customHeight="false" outlineLevel="0" collapsed="false">
      <c r="B6" s="21" t="s">
        <v>75</v>
      </c>
      <c r="C6" s="22" t="n">
        <f aca="false">IF('Client Input'!$C$10="No",0,1)</f>
        <v>1</v>
      </c>
      <c r="D6" s="20" t="s">
        <v>76</v>
      </c>
    </row>
    <row r="7" customFormat="false" ht="15" hidden="false" customHeight="false" outlineLevel="0" collapsed="false">
      <c r="B7" s="21" t="s">
        <v>77</v>
      </c>
      <c r="C7" s="23" t="n">
        <f aca="false">INDEX('Tax Tables &amp; Assumptions'!$D$18:$G$18,$C$5)</f>
        <v>32200</v>
      </c>
    </row>
    <row r="8" customFormat="false" ht="15" hidden="false" customHeight="false" outlineLevel="0" collapsed="false">
      <c r="B8" s="21" t="s">
        <v>78</v>
      </c>
      <c r="C8" s="16" t="n">
        <f aca="false">IF('Client Input'!$C$15="",C7,MAX(0,'Client Input'!$C$15))</f>
        <v>32200</v>
      </c>
      <c r="D8" s="20" t="s">
        <v>79</v>
      </c>
    </row>
    <row r="9" customFormat="false" ht="15" hidden="false" customHeight="false" outlineLevel="0" collapsed="false">
      <c r="B9" s="21" t="s">
        <v>80</v>
      </c>
      <c r="C9" s="23" t="n">
        <f aca="false">INDEX('Tax Tables &amp; Assumptions'!$D$23:$G$23,$C$5)</f>
        <v>98900</v>
      </c>
    </row>
    <row r="10" customFormat="false" ht="15" hidden="false" customHeight="false" outlineLevel="0" collapsed="false">
      <c r="B10" s="21" t="s">
        <v>81</v>
      </c>
      <c r="C10" s="23" t="n">
        <f aca="false">INDEX('Tax Tables &amp; Assumptions'!$D$24:$G$24,$C$5)</f>
        <v>613700</v>
      </c>
    </row>
    <row r="11" customFormat="false" ht="15" hidden="false" customHeight="false" outlineLevel="0" collapsed="false">
      <c r="B11" s="21" t="s">
        <v>82</v>
      </c>
      <c r="C11" s="24" t="n">
        <f aca="false">'Tax Tables &amp; Assumptions'!$C$22</f>
        <v>0</v>
      </c>
    </row>
    <row r="12" customFormat="false" ht="15" hidden="false" customHeight="false" outlineLevel="0" collapsed="false">
      <c r="B12" s="21" t="s">
        <v>83</v>
      </c>
      <c r="C12" s="24" t="n">
        <f aca="false">'Tax Tables &amp; Assumptions'!$C$23</f>
        <v>0.15</v>
      </c>
    </row>
    <row r="13" customFormat="false" ht="15" hidden="false" customHeight="false" outlineLevel="0" collapsed="false">
      <c r="B13" s="21" t="s">
        <v>84</v>
      </c>
      <c r="C13" s="24" t="n">
        <f aca="false">'Tax Tables &amp; Assumptions'!$C$24</f>
        <v>0.2</v>
      </c>
    </row>
    <row r="14" customFormat="false" ht="15" hidden="false" customHeight="false" outlineLevel="0" collapsed="false">
      <c r="B14" s="21" t="s">
        <v>85</v>
      </c>
      <c r="C14" s="25" t="n">
        <f aca="false">'Tax Tables &amp; Assumptions'!$C$28</f>
        <v>0.038</v>
      </c>
    </row>
    <row r="15" customFormat="false" ht="15" hidden="false" customHeight="false" outlineLevel="0" collapsed="false">
      <c r="B15" s="21" t="s">
        <v>86</v>
      </c>
      <c r="C15" s="23" t="n">
        <f aca="false">INDEX('Tax Tables &amp; Assumptions'!$D$29:$G$29,$C$5)</f>
        <v>250000</v>
      </c>
    </row>
    <row r="16" customFormat="false" ht="15" hidden="false" customHeight="false" outlineLevel="0" collapsed="false">
      <c r="B16" s="21" t="s">
        <v>87</v>
      </c>
      <c r="C16" s="26" t="str">
        <f aca="false">INDEX('Tax Tables &amp; Assumptions'!$D$44:$G$44,$C$5)</f>
        <v>B</v>
      </c>
    </row>
    <row r="17" customFormat="false" ht="15" hidden="false" customHeight="false" outlineLevel="0" collapsed="false">
      <c r="B17" s="21" t="s">
        <v>88</v>
      </c>
      <c r="C17" s="23" t="n">
        <f aca="false">INDEX('Tax Tables &amp; Assumptions'!$D$45:$G$45,$C$5)+MAX(0,N('Client Input'!$C$11))*INDEX('Tax Tables &amp; Assumptions'!$D$46:$G$46,$C$5)</f>
        <v>2000</v>
      </c>
    </row>
    <row r="18" customFormat="false" ht="15" hidden="false" customHeight="false" outlineLevel="0" collapsed="false">
      <c r="B18" s="21" t="s">
        <v>89</v>
      </c>
      <c r="C18" s="23" t="n">
        <f aca="false">INDEX('Tax Tables &amp; Assumptions'!$D$48:$G$48,$C$5)</f>
        <v>0</v>
      </c>
      <c r="D18" s="20" t="s">
        <v>90</v>
      </c>
    </row>
    <row r="19" customFormat="false" ht="15" hidden="false" customHeight="false" outlineLevel="0" collapsed="false">
      <c r="B19" s="21" t="s">
        <v>91</v>
      </c>
      <c r="C19" s="23" t="n">
        <f aca="false">INDEX('Tax Tables &amp; Assumptions'!$D$47:$G$47,$C$5)</f>
        <v>20000</v>
      </c>
    </row>
    <row r="21" customFormat="false" ht="18" hidden="false" customHeight="true" outlineLevel="0" collapsed="false">
      <c r="B21" s="8" t="s">
        <v>92</v>
      </c>
      <c r="C21" s="8"/>
      <c r="D21" s="8"/>
      <c r="E21" s="8"/>
      <c r="F21" s="8"/>
      <c r="G21" s="8"/>
      <c r="H21" s="8"/>
      <c r="I21" s="8"/>
      <c r="J21" s="8"/>
    </row>
    <row r="22" customFormat="false" ht="25.5" hidden="false" customHeight="true" outlineLevel="0" collapsed="false">
      <c r="B22" s="7" t="s">
        <v>93</v>
      </c>
      <c r="C22" s="7" t="s">
        <v>94</v>
      </c>
      <c r="D22" s="7" t="s">
        <v>95</v>
      </c>
      <c r="E22" s="7" t="s">
        <v>96</v>
      </c>
      <c r="F22" s="7" t="s">
        <v>97</v>
      </c>
      <c r="G22" s="7" t="s">
        <v>98</v>
      </c>
      <c r="H22" s="7" t="s">
        <v>99</v>
      </c>
      <c r="J22" s="7" t="s">
        <v>100</v>
      </c>
    </row>
    <row r="23" customFormat="false" ht="15" hidden="false" customHeight="false" outlineLevel="0" collapsed="false">
      <c r="B23" s="21" t="s">
        <v>32</v>
      </c>
      <c r="C23" s="23" t="n">
        <f aca="false">MAX(0,N('Client Input'!$C$19))</f>
        <v>20000</v>
      </c>
      <c r="D23" s="16" t="n">
        <f aca="false">0</f>
        <v>0</v>
      </c>
      <c r="E23" s="16" t="n">
        <f aca="false">C23</f>
        <v>20000</v>
      </c>
      <c r="F23" s="16" t="n">
        <f aca="false">0</f>
        <v>0</v>
      </c>
      <c r="G23" s="16" t="n">
        <f aca="false">C23</f>
        <v>20000</v>
      </c>
      <c r="H23" s="16" t="n">
        <f aca="false">C23-G23</f>
        <v>0</v>
      </c>
      <c r="J23" s="20" t="s">
        <v>101</v>
      </c>
    </row>
    <row r="24" customFormat="false" ht="15" hidden="false" customHeight="false" outlineLevel="0" collapsed="false">
      <c r="B24" s="21" t="s">
        <v>34</v>
      </c>
      <c r="C24" s="23" t="n">
        <f aca="false">MAX(0,N('Client Input'!$C$20))</f>
        <v>5000</v>
      </c>
      <c r="D24" s="16" t="n">
        <f aca="false">C24</f>
        <v>5000</v>
      </c>
      <c r="E24" s="16" t="n">
        <f aca="false">0</f>
        <v>0</v>
      </c>
      <c r="F24" s="16" t="n">
        <f aca="false">0</f>
        <v>0</v>
      </c>
      <c r="G24" s="16" t="n">
        <f aca="false">C24</f>
        <v>5000</v>
      </c>
      <c r="H24" s="16" t="n">
        <f aca="false">C24-G24</f>
        <v>0</v>
      </c>
      <c r="J24" s="20" t="s">
        <v>101</v>
      </c>
    </row>
    <row r="25" customFormat="false" ht="15" hidden="false" customHeight="false" outlineLevel="0" collapsed="false">
      <c r="B25" s="21" t="s">
        <v>36</v>
      </c>
      <c r="C25" s="23" t="n">
        <f aca="false">MAX(0,N('Client Input'!$C$21))</f>
        <v>5000</v>
      </c>
      <c r="D25" s="16" t="n">
        <f aca="false">C25</f>
        <v>5000</v>
      </c>
      <c r="E25" s="16" t="n">
        <f aca="false">0</f>
        <v>0</v>
      </c>
      <c r="F25" s="16" t="n">
        <f aca="false">0</f>
        <v>0</v>
      </c>
      <c r="G25" s="16" t="n">
        <f aca="false">C25*(1-MIN(1,MAX(0,N('Client Input'!$C$30))))</f>
        <v>5000</v>
      </c>
      <c r="H25" s="16" t="n">
        <f aca="false">C25-G25</f>
        <v>0</v>
      </c>
      <c r="J25" s="20" t="s">
        <v>102</v>
      </c>
    </row>
    <row r="26" customFormat="false" ht="15" hidden="false" customHeight="false" outlineLevel="0" collapsed="false">
      <c r="B26" s="21" t="s">
        <v>38</v>
      </c>
      <c r="C26" s="23" t="n">
        <f aca="false">MAX(0,N('Client Input'!$C$22))</f>
        <v>10000</v>
      </c>
      <c r="D26" s="16" t="n">
        <f aca="false">C26</f>
        <v>10000</v>
      </c>
      <c r="E26" s="16" t="n">
        <f aca="false">0</f>
        <v>0</v>
      </c>
      <c r="F26" s="16" t="n">
        <f aca="false">0</f>
        <v>0</v>
      </c>
      <c r="G26" s="16" t="n">
        <f aca="false">C26</f>
        <v>10000</v>
      </c>
      <c r="H26" s="16" t="n">
        <f aca="false">C26-G26</f>
        <v>0</v>
      </c>
      <c r="J26" s="20" t="s">
        <v>101</v>
      </c>
    </row>
    <row r="27" customFormat="false" ht="15" hidden="false" customHeight="false" outlineLevel="0" collapsed="false">
      <c r="B27" s="21" t="s">
        <v>103</v>
      </c>
      <c r="C27" s="23" t="n">
        <f aca="false">MAX(0,N('Client Input'!$C$23))</f>
        <v>0</v>
      </c>
      <c r="D27" s="16" t="n">
        <f aca="false">C27</f>
        <v>0</v>
      </c>
      <c r="E27" s="16" t="n">
        <f aca="false">0</f>
        <v>0</v>
      </c>
      <c r="F27" s="16" t="n">
        <f aca="false">0</f>
        <v>0</v>
      </c>
      <c r="G27" s="16" t="n">
        <f aca="false">C27</f>
        <v>0</v>
      </c>
      <c r="H27" s="16" t="n">
        <f aca="false">C27-G27</f>
        <v>0</v>
      </c>
      <c r="J27" s="20" t="s">
        <v>101</v>
      </c>
    </row>
    <row r="28" customFormat="false" ht="15" hidden="false" customHeight="false" outlineLevel="0" collapsed="false">
      <c r="B28" s="21" t="s">
        <v>104</v>
      </c>
      <c r="C28" s="23" t="n">
        <f aca="false">MAX(0,N('Client Input'!$C$24))</f>
        <v>0</v>
      </c>
      <c r="D28" s="16" t="n">
        <f aca="false">C28</f>
        <v>0</v>
      </c>
      <c r="E28" s="16" t="n">
        <f aca="false">0</f>
        <v>0</v>
      </c>
      <c r="F28" s="16" t="n">
        <f aca="false">0</f>
        <v>0</v>
      </c>
      <c r="G28" s="16" t="n">
        <f aca="false">0</f>
        <v>0</v>
      </c>
      <c r="H28" s="16" t="n">
        <f aca="false">C28-G28</f>
        <v>0</v>
      </c>
      <c r="J28" s="20" t="s">
        <v>105</v>
      </c>
    </row>
    <row r="29" customFormat="false" ht="15" hidden="false" customHeight="false" outlineLevel="0" collapsed="false">
      <c r="B29" s="21" t="s">
        <v>43</v>
      </c>
      <c r="C29" s="23" t="n">
        <f aca="false">MAX(0,N('Client Input'!$C$25))</f>
        <v>0</v>
      </c>
      <c r="D29" s="16" t="n">
        <f aca="false">0</f>
        <v>0</v>
      </c>
      <c r="E29" s="16" t="n">
        <f aca="false">0</f>
        <v>0</v>
      </c>
      <c r="F29" s="16" t="n">
        <f aca="false">C29</f>
        <v>0</v>
      </c>
      <c r="G29" s="16" t="n">
        <f aca="false">C29*(1-MIN(1,MAX(0,N('Client Input'!$C$31))))</f>
        <v>0</v>
      </c>
      <c r="H29" s="16" t="n">
        <f aca="false">C29-G29</f>
        <v>0</v>
      </c>
      <c r="J29" s="20" t="s">
        <v>106</v>
      </c>
    </row>
    <row r="30" customFormat="false" ht="15" hidden="false" customHeight="false" outlineLevel="0" collapsed="false">
      <c r="B30" s="21" t="s">
        <v>107</v>
      </c>
      <c r="C30" s="23" t="n">
        <f aca="false">MAX(0,N('Client Input'!$C$26))</f>
        <v>0</v>
      </c>
      <c r="D30" s="16" t="n">
        <f aca="false">C30</f>
        <v>0</v>
      </c>
      <c r="E30" s="16" t="n">
        <f aca="false">0</f>
        <v>0</v>
      </c>
      <c r="F30" s="16" t="n">
        <f aca="false">0</f>
        <v>0</v>
      </c>
      <c r="G30" s="16" t="n">
        <f aca="false">C30</f>
        <v>0</v>
      </c>
      <c r="H30" s="16" t="n">
        <f aca="false">C30-G30</f>
        <v>0</v>
      </c>
      <c r="J30" s="20" t="s">
        <v>101</v>
      </c>
    </row>
    <row r="31" customFormat="false" ht="15" hidden="false" customHeight="false" outlineLevel="0" collapsed="false">
      <c r="B31" s="21" t="s">
        <v>108</v>
      </c>
      <c r="C31" s="23" t="n">
        <f aca="false">MAX(0,N('Client Input'!$C$27))</f>
        <v>10000</v>
      </c>
      <c r="D31" s="16" t="n">
        <f aca="false">0</f>
        <v>0</v>
      </c>
      <c r="E31" s="16" t="n">
        <f aca="false">C31</f>
        <v>10000</v>
      </c>
      <c r="F31" s="16" t="n">
        <f aca="false">0</f>
        <v>0</v>
      </c>
      <c r="G31" s="16" t="n">
        <f aca="false">C31</f>
        <v>10000</v>
      </c>
      <c r="H31" s="16" t="n">
        <f aca="false">C31-G31</f>
        <v>0</v>
      </c>
      <c r="J31" s="20" t="s">
        <v>101</v>
      </c>
    </row>
    <row r="32" customFormat="false" ht="15" hidden="false" customHeight="false" outlineLevel="0" collapsed="false">
      <c r="B32" s="27" t="s">
        <v>109</v>
      </c>
      <c r="C32" s="28" t="n">
        <f aca="false">SUM(C23:C31)</f>
        <v>50000</v>
      </c>
      <c r="D32" s="28" t="n">
        <f aca="false">SUM(D23:D31)</f>
        <v>20000</v>
      </c>
      <c r="E32" s="28" t="n">
        <f aca="false">SUM(E23:E31)</f>
        <v>30000</v>
      </c>
      <c r="F32" s="28" t="n">
        <f aca="false">SUM(F23:F31)</f>
        <v>0</v>
      </c>
      <c r="G32" s="28" t="n">
        <f aca="false">SUM(G23:G31)</f>
        <v>50000</v>
      </c>
      <c r="H32" s="28" t="n">
        <f aca="false">SUM(H23:H31)</f>
        <v>0</v>
      </c>
    </row>
    <row r="33" customFormat="false" ht="15" hidden="false" customHeight="false" outlineLevel="0" collapsed="false">
      <c r="B33" s="21" t="s">
        <v>110</v>
      </c>
      <c r="C33" s="16" t="n">
        <f aca="false">D32-$C$30</f>
        <v>20000</v>
      </c>
    </row>
    <row r="34" customFormat="false" ht="15" hidden="false" customHeight="false" outlineLevel="0" collapsed="false">
      <c r="B34" s="21" t="s">
        <v>111</v>
      </c>
      <c r="C34" s="16" t="n">
        <f aca="false">$D$32+$E$32</f>
        <v>50000</v>
      </c>
    </row>
    <row r="36" customFormat="false" ht="18" hidden="false" customHeight="true" outlineLevel="0" collapsed="false">
      <c r="B36" s="8" t="s">
        <v>112</v>
      </c>
      <c r="C36" s="8"/>
      <c r="D36" s="8"/>
      <c r="E36" s="8"/>
      <c r="F36" s="8"/>
      <c r="G36" s="8"/>
      <c r="H36" s="8"/>
      <c r="I36" s="8"/>
      <c r="J36" s="8"/>
    </row>
    <row r="37" customFormat="false" ht="25.5" hidden="false" customHeight="true" outlineLevel="0" collapsed="false">
      <c r="B37" s="7" t="s">
        <v>113</v>
      </c>
      <c r="C37" s="7" t="s">
        <v>114</v>
      </c>
      <c r="D37" s="7" t="s">
        <v>115</v>
      </c>
      <c r="E37" s="7" t="s">
        <v>116</v>
      </c>
      <c r="F37" s="7" t="s">
        <v>117</v>
      </c>
      <c r="G37" s="7" t="s">
        <v>118</v>
      </c>
      <c r="H37" s="7" t="s">
        <v>119</v>
      </c>
      <c r="I37" s="7" t="s">
        <v>120</v>
      </c>
    </row>
    <row r="38" customFormat="false" ht="15" hidden="false" customHeight="false" outlineLevel="0" collapsed="false">
      <c r="B38" s="21" t="s">
        <v>121</v>
      </c>
      <c r="C38" s="24" t="n">
        <f aca="false">'Tax Tables &amp; Assumptions'!$C$8</f>
        <v>0.1</v>
      </c>
      <c r="D38" s="23" t="n">
        <f aca="false">INDEX('Tax Tables &amp; Assumptions'!$D$8:$G$8,$C$5)</f>
        <v>0</v>
      </c>
      <c r="E38" s="29" t="n">
        <f aca="false">D39</f>
        <v>24800</v>
      </c>
      <c r="F38" s="30" t="n">
        <f aca="false">C38</f>
        <v>0.1</v>
      </c>
      <c r="G38" s="16" t="n">
        <f aca="false">MAX(0,MIN($C$49,E38)-D38)</f>
        <v>24800</v>
      </c>
      <c r="H38" s="16" t="n">
        <f aca="false">MAX(0,MIN($G$49,E38)-D38)</f>
        <v>24800</v>
      </c>
      <c r="I38" s="31" t="n">
        <f aca="false">(H38-G38)*C38</f>
        <v>0</v>
      </c>
    </row>
    <row r="39" customFormat="false" ht="15" hidden="false" customHeight="false" outlineLevel="0" collapsed="false">
      <c r="B39" s="21" t="s">
        <v>122</v>
      </c>
      <c r="C39" s="24" t="n">
        <f aca="false">'Tax Tables &amp; Assumptions'!$C$9</f>
        <v>0.12</v>
      </c>
      <c r="D39" s="23" t="n">
        <f aca="false">INDEX('Tax Tables &amp; Assumptions'!$D$9:$G$9,$C$5)</f>
        <v>24800</v>
      </c>
      <c r="E39" s="29" t="n">
        <f aca="false">D40</f>
        <v>100800</v>
      </c>
      <c r="F39" s="30" t="n">
        <f aca="false">C39-C38</f>
        <v>0.02</v>
      </c>
      <c r="G39" s="16" t="n">
        <f aca="false">MAX(0,MIN($C$49,E39)-D39)</f>
        <v>76000</v>
      </c>
      <c r="H39" s="16" t="n">
        <f aca="false">MAX(0,MIN($G$49,E39)-D39)</f>
        <v>76000</v>
      </c>
      <c r="I39" s="31" t="n">
        <f aca="false">(H39-G39)*C39</f>
        <v>0</v>
      </c>
    </row>
    <row r="40" customFormat="false" ht="15" hidden="false" customHeight="false" outlineLevel="0" collapsed="false">
      <c r="B40" s="21" t="s">
        <v>123</v>
      </c>
      <c r="C40" s="24" t="n">
        <f aca="false">'Tax Tables &amp; Assumptions'!$C$10</f>
        <v>0.22</v>
      </c>
      <c r="D40" s="23" t="n">
        <f aca="false">INDEX('Tax Tables &amp; Assumptions'!$D$10:$G$10,$C$5)</f>
        <v>100800</v>
      </c>
      <c r="E40" s="29" t="n">
        <f aca="false">D41</f>
        <v>211400</v>
      </c>
      <c r="F40" s="30" t="n">
        <f aca="false">C40-C39</f>
        <v>0.1</v>
      </c>
      <c r="G40" s="16" t="n">
        <f aca="false">MAX(0,MIN($C$49,E40)-D40)</f>
        <v>49200</v>
      </c>
      <c r="H40" s="16" t="n">
        <f aca="false">MAX(0,MIN($G$49,E40)-D40)</f>
        <v>69200</v>
      </c>
      <c r="I40" s="31" t="n">
        <f aca="false">(H40-G40)*C40</f>
        <v>4400</v>
      </c>
    </row>
    <row r="41" customFormat="false" ht="15" hidden="false" customHeight="false" outlineLevel="0" collapsed="false">
      <c r="B41" s="21" t="s">
        <v>124</v>
      </c>
      <c r="C41" s="24" t="n">
        <f aca="false">'Tax Tables &amp; Assumptions'!$C$11</f>
        <v>0.24</v>
      </c>
      <c r="D41" s="23" t="n">
        <f aca="false">INDEX('Tax Tables &amp; Assumptions'!$D$11:$G$11,$C$5)</f>
        <v>211400</v>
      </c>
      <c r="E41" s="29" t="n">
        <f aca="false">D42</f>
        <v>403550</v>
      </c>
      <c r="F41" s="30" t="n">
        <f aca="false">C41-C40</f>
        <v>0.02</v>
      </c>
      <c r="G41" s="16" t="n">
        <f aca="false">MAX(0,MIN($C$49,E41)-D41)</f>
        <v>0</v>
      </c>
      <c r="H41" s="16" t="n">
        <f aca="false">MAX(0,MIN($G$49,E41)-D41)</f>
        <v>0</v>
      </c>
      <c r="I41" s="31" t="n">
        <f aca="false">(H41-G41)*C41</f>
        <v>0</v>
      </c>
    </row>
    <row r="42" customFormat="false" ht="15" hidden="false" customHeight="false" outlineLevel="0" collapsed="false">
      <c r="B42" s="21" t="s">
        <v>125</v>
      </c>
      <c r="C42" s="24" t="n">
        <f aca="false">'Tax Tables &amp; Assumptions'!$C$12</f>
        <v>0.32</v>
      </c>
      <c r="D42" s="23" t="n">
        <f aca="false">INDEX('Tax Tables &amp; Assumptions'!$D$12:$G$12,$C$5)</f>
        <v>403550</v>
      </c>
      <c r="E42" s="29" t="n">
        <f aca="false">D43</f>
        <v>512450</v>
      </c>
      <c r="F42" s="30" t="n">
        <f aca="false">C42-C41</f>
        <v>0.08</v>
      </c>
      <c r="G42" s="16" t="n">
        <f aca="false">MAX(0,MIN($C$49,E42)-D42)</f>
        <v>0</v>
      </c>
      <c r="H42" s="16" t="n">
        <f aca="false">MAX(0,MIN($G$49,E42)-D42)</f>
        <v>0</v>
      </c>
      <c r="I42" s="31" t="n">
        <f aca="false">(H42-G42)*C42</f>
        <v>0</v>
      </c>
    </row>
    <row r="43" customFormat="false" ht="15" hidden="false" customHeight="false" outlineLevel="0" collapsed="false">
      <c r="B43" s="21" t="s">
        <v>126</v>
      </c>
      <c r="C43" s="24" t="n">
        <f aca="false">'Tax Tables &amp; Assumptions'!$C$13</f>
        <v>0.35</v>
      </c>
      <c r="D43" s="23" t="n">
        <f aca="false">INDEX('Tax Tables &amp; Assumptions'!$D$13:$G$13,$C$5)</f>
        <v>512450</v>
      </c>
      <c r="E43" s="29" t="n">
        <f aca="false">D44</f>
        <v>768700</v>
      </c>
      <c r="F43" s="30" t="n">
        <f aca="false">C43-C42</f>
        <v>0.03</v>
      </c>
      <c r="G43" s="16" t="n">
        <f aca="false">MAX(0,MIN($C$49,E43)-D43)</f>
        <v>0</v>
      </c>
      <c r="H43" s="16" t="n">
        <f aca="false">MAX(0,MIN($G$49,E43)-D43)</f>
        <v>0</v>
      </c>
      <c r="I43" s="31" t="n">
        <f aca="false">(H43-G43)*C43</f>
        <v>0</v>
      </c>
    </row>
    <row r="44" customFormat="false" ht="15" hidden="false" customHeight="false" outlineLevel="0" collapsed="false">
      <c r="B44" s="21" t="s">
        <v>127</v>
      </c>
      <c r="C44" s="24" t="n">
        <f aca="false">'Tax Tables &amp; Assumptions'!$C$14</f>
        <v>0.37</v>
      </c>
      <c r="D44" s="23" t="n">
        <f aca="false">INDEX('Tax Tables &amp; Assumptions'!$D$14:$G$14,$C$5)</f>
        <v>768700</v>
      </c>
      <c r="E44" s="29" t="n">
        <f aca="false">1000000000000</f>
        <v>1000000000000</v>
      </c>
      <c r="F44" s="30" t="n">
        <f aca="false">C44-C43</f>
        <v>0.02</v>
      </c>
      <c r="G44" s="16" t="n">
        <f aca="false">MAX(0,MIN($C$49,E44)-D44)</f>
        <v>0</v>
      </c>
      <c r="H44" s="16" t="n">
        <f aca="false">MAX(0,MIN($G$49,E44)-D44)</f>
        <v>0</v>
      </c>
      <c r="I44" s="31" t="n">
        <f aca="false">(H44-G44)*C44</f>
        <v>0</v>
      </c>
    </row>
    <row r="45" customFormat="false" ht="15" hidden="false" customHeight="false" outlineLevel="0" collapsed="false">
      <c r="B45" s="27" t="s">
        <v>128</v>
      </c>
      <c r="G45" s="32" t="n">
        <f aca="false">SUM(G38:G44)</f>
        <v>150000</v>
      </c>
      <c r="H45" s="32" t="n">
        <f aca="false">SUM(H38:H44)</f>
        <v>170000</v>
      </c>
      <c r="I45" s="33" t="n">
        <f aca="false">SUM(I38:I44)</f>
        <v>4400</v>
      </c>
      <c r="J45" s="20" t="s">
        <v>129</v>
      </c>
    </row>
    <row r="47" customFormat="false" ht="18" hidden="false" customHeight="true" outlineLevel="0" collapsed="false">
      <c r="B47" s="8" t="s">
        <v>130</v>
      </c>
      <c r="C47" s="8"/>
      <c r="D47" s="8"/>
      <c r="E47" s="8"/>
      <c r="F47" s="8"/>
      <c r="G47" s="8"/>
      <c r="H47" s="8"/>
      <c r="I47" s="8"/>
      <c r="J47" s="8"/>
    </row>
    <row r="48" customFormat="false" ht="39.75" hidden="false" customHeight="true" outlineLevel="0" collapsed="false">
      <c r="B48" s="7" t="s">
        <v>131</v>
      </c>
      <c r="C48" s="7" t="s">
        <v>132</v>
      </c>
      <c r="D48" s="7" t="s">
        <v>133</v>
      </c>
      <c r="E48" s="7" t="s">
        <v>134</v>
      </c>
      <c r="F48" s="7" t="s">
        <v>135</v>
      </c>
      <c r="G48" s="7" t="s">
        <v>136</v>
      </c>
    </row>
    <row r="49" customFormat="false" ht="15" hidden="false" customHeight="false" outlineLevel="0" collapsed="false">
      <c r="B49" s="21" t="s">
        <v>137</v>
      </c>
      <c r="C49" s="23" t="n">
        <f aca="false">MAX(0,N('Client Input'!$C$14))</f>
        <v>150000</v>
      </c>
      <c r="D49" s="16" t="n">
        <f aca="false">C49+$C$33</f>
        <v>170000</v>
      </c>
      <c r="E49" s="16" t="n">
        <f aca="false">D49+$C$30</f>
        <v>170000</v>
      </c>
      <c r="F49" s="16" t="n">
        <f aca="false">E49</f>
        <v>170000</v>
      </c>
      <c r="G49" s="16" t="n">
        <f aca="false">F49</f>
        <v>170000</v>
      </c>
    </row>
    <row r="50" customFormat="false" ht="15" hidden="false" customHeight="false" outlineLevel="0" collapsed="false">
      <c r="B50" s="21" t="s">
        <v>138</v>
      </c>
      <c r="C50" s="16" t="n">
        <f aca="false">0</f>
        <v>0</v>
      </c>
      <c r="D50" s="16" t="n">
        <f aca="false">0</f>
        <v>0</v>
      </c>
      <c r="E50" s="16" t="n">
        <f aca="false">0</f>
        <v>0</v>
      </c>
      <c r="F50" s="16" t="n">
        <f aca="false">$C$23</f>
        <v>20000</v>
      </c>
      <c r="G50" s="16" t="n">
        <f aca="false">F50+$C$31</f>
        <v>30000</v>
      </c>
    </row>
    <row r="51" customFormat="false" ht="15" hidden="false" customHeight="false" outlineLevel="0" collapsed="false">
      <c r="B51" s="27" t="s">
        <v>139</v>
      </c>
      <c r="C51" s="34" t="n">
        <f aca="false">C49+C50</f>
        <v>150000</v>
      </c>
      <c r="D51" s="34" t="n">
        <f aca="false">D49+D50</f>
        <v>170000</v>
      </c>
      <c r="E51" s="34" t="n">
        <f aca="false">E49+E50</f>
        <v>170000</v>
      </c>
      <c r="F51" s="34" t="n">
        <f aca="false">F49+F50</f>
        <v>190000</v>
      </c>
      <c r="G51" s="34" t="n">
        <f aca="false">G49+G50</f>
        <v>200000</v>
      </c>
    </row>
    <row r="52" customFormat="false" ht="15" hidden="false" customHeight="false" outlineLevel="0" collapsed="false">
      <c r="B52" s="21" t="s">
        <v>140</v>
      </c>
      <c r="C52" s="31" t="n">
        <f aca="false">SUMPRODUCT((C49&gt;$D$38:$D$44)*(C49-$D$38:$D$44)*$F$38:$F$44)</f>
        <v>22424</v>
      </c>
      <c r="D52" s="31" t="n">
        <f aca="false">SUMPRODUCT((D49&gt;$D$38:$D$44)*(D49-$D$38:$D$44)*$F$38:$F$44)</f>
        <v>26824</v>
      </c>
      <c r="E52" s="31" t="n">
        <f aca="false">SUMPRODUCT((E49&gt;$D$38:$D$44)*(E49-$D$38:$D$44)*$F$38:$F$44)</f>
        <v>26824</v>
      </c>
      <c r="F52" s="31" t="n">
        <f aca="false">SUMPRODUCT((F49&gt;$D$38:$D$44)*(F49-$D$38:$D$44)*$F$38:$F$44)</f>
        <v>26824</v>
      </c>
      <c r="G52" s="31" t="n">
        <f aca="false">SUMPRODUCT((G49&gt;$D$38:$D$44)*(G49-$D$38:$D$44)*$F$38:$F$44)</f>
        <v>26824</v>
      </c>
    </row>
    <row r="53" customFormat="false" ht="15" hidden="false" customHeight="false" outlineLevel="0" collapsed="false">
      <c r="B53" s="21" t="s">
        <v>141</v>
      </c>
      <c r="C53" s="16" t="n">
        <f aca="false">MIN(C50,MAX(0,$C$9-C49))</f>
        <v>0</v>
      </c>
      <c r="D53" s="16" t="n">
        <f aca="false">MIN(D50,MAX(0,$C$9-D49))</f>
        <v>0</v>
      </c>
      <c r="E53" s="16" t="n">
        <f aca="false">MIN(E50,MAX(0,$C$9-E49))</f>
        <v>0</v>
      </c>
      <c r="F53" s="16" t="n">
        <f aca="false">MIN(F50,MAX(0,$C$9-F49))</f>
        <v>0</v>
      </c>
      <c r="G53" s="16" t="n">
        <f aca="false">MIN(G50,MAX(0,$C$9-G49))</f>
        <v>0</v>
      </c>
    </row>
    <row r="54" customFormat="false" ht="15" hidden="false" customHeight="false" outlineLevel="0" collapsed="false">
      <c r="B54" s="21" t="s">
        <v>142</v>
      </c>
      <c r="C54" s="16" t="n">
        <f aca="false">MIN(C50-C53,MAX(0,$C$10-MAX(C49,$C$9)))</f>
        <v>0</v>
      </c>
      <c r="D54" s="16" t="n">
        <f aca="false">MIN(D50-D53,MAX(0,$C$10-MAX(D49,$C$9)))</f>
        <v>0</v>
      </c>
      <c r="E54" s="16" t="n">
        <f aca="false">MIN(E50-E53,MAX(0,$C$10-MAX(E49,$C$9)))</f>
        <v>0</v>
      </c>
      <c r="F54" s="16" t="n">
        <f aca="false">MIN(F50-F53,MAX(0,$C$10-MAX(F49,$C$9)))</f>
        <v>20000</v>
      </c>
      <c r="G54" s="16" t="n">
        <f aca="false">MIN(G50-G53,MAX(0,$C$10-MAX(G49,$C$9)))</f>
        <v>30000</v>
      </c>
    </row>
    <row r="55" customFormat="false" ht="15" hidden="false" customHeight="false" outlineLevel="0" collapsed="false">
      <c r="B55" s="21" t="s">
        <v>143</v>
      </c>
      <c r="C55" s="16" t="n">
        <f aca="false">C50-C53-C54</f>
        <v>0</v>
      </c>
      <c r="D55" s="16" t="n">
        <f aca="false">D50-D53-D54</f>
        <v>0</v>
      </c>
      <c r="E55" s="16" t="n">
        <f aca="false">E50-E53-E54</f>
        <v>0</v>
      </c>
      <c r="F55" s="16" t="n">
        <f aca="false">F50-F53-F54</f>
        <v>0</v>
      </c>
      <c r="G55" s="16" t="n">
        <f aca="false">G50-G53-G54</f>
        <v>0</v>
      </c>
    </row>
    <row r="56" customFormat="false" ht="15" hidden="false" customHeight="false" outlineLevel="0" collapsed="false">
      <c r="B56" s="21" t="s">
        <v>144</v>
      </c>
      <c r="C56" s="31" t="n">
        <f aca="false">C53*$C$11+C54*$C$12+C55*$C$13</f>
        <v>0</v>
      </c>
      <c r="D56" s="31" t="n">
        <f aca="false">D53*$C$11+D54*$C$12+D55*$C$13</f>
        <v>0</v>
      </c>
      <c r="E56" s="31" t="n">
        <f aca="false">E53*$C$11+E54*$C$12+E55*$C$13</f>
        <v>0</v>
      </c>
      <c r="F56" s="31" t="n">
        <f aca="false">F53*$C$11+F54*$C$12+F55*$C$13</f>
        <v>3000</v>
      </c>
      <c r="G56" s="31" t="n">
        <f aca="false">G53*$C$11+G54*$C$12+G55*$C$13</f>
        <v>4500</v>
      </c>
    </row>
    <row r="57" customFormat="false" ht="15" hidden="false" customHeight="false" outlineLevel="0" collapsed="false">
      <c r="B57" s="27" t="s">
        <v>145</v>
      </c>
      <c r="C57" s="35" t="n">
        <f aca="false">C52+C56</f>
        <v>22424</v>
      </c>
      <c r="D57" s="35" t="n">
        <f aca="false">D52+D56</f>
        <v>26824</v>
      </c>
      <c r="E57" s="35" t="n">
        <f aca="false">E52+E56</f>
        <v>26824</v>
      </c>
      <c r="F57" s="35" t="n">
        <f aca="false">F52+F56</f>
        <v>29824</v>
      </c>
      <c r="G57" s="35" t="n">
        <f aca="false">G52+G56</f>
        <v>31324</v>
      </c>
    </row>
    <row r="58" customFormat="false" ht="15" hidden="false" customHeight="false" outlineLevel="0" collapsed="false">
      <c r="B58" s="21" t="s">
        <v>146</v>
      </c>
      <c r="C58" s="36" t="str">
        <f aca="false">"—"</f>
        <v>—</v>
      </c>
      <c r="D58" s="31" t="n">
        <f aca="false">D57-C57</f>
        <v>4400</v>
      </c>
      <c r="E58" s="31" t="n">
        <f aca="false">E57-D57</f>
        <v>0</v>
      </c>
      <c r="F58" s="31" t="n">
        <f aca="false">F57-E57</f>
        <v>3000</v>
      </c>
      <c r="G58" s="31" t="n">
        <f aca="false">G57-F57</f>
        <v>1500</v>
      </c>
    </row>
    <row r="59" customFormat="false" ht="15" hidden="false" customHeight="false" outlineLevel="0" collapsed="false">
      <c r="B59" s="21" t="s">
        <v>147</v>
      </c>
      <c r="C59" s="30" t="n">
        <f aca="false">INDEX($C$38:$C$44,MATCH(C49,$D$38:$D$44,1))</f>
        <v>0.22</v>
      </c>
      <c r="D59" s="30" t="n">
        <f aca="false">INDEX($C$38:$C$44,MATCH(D49,$D$38:$D$44,1))</f>
        <v>0.22</v>
      </c>
      <c r="E59" s="30" t="n">
        <f aca="false">INDEX($C$38:$C$44,MATCH(E49,$D$38:$D$44,1))</f>
        <v>0.22</v>
      </c>
      <c r="F59" s="30" t="n">
        <f aca="false">INDEX($C$38:$C$44,MATCH(F49,$D$38:$D$44,1))</f>
        <v>0.22</v>
      </c>
      <c r="G59" s="30" t="n">
        <f aca="false">INDEX($C$38:$C$44,MATCH(G49,$D$38:$D$44,1))</f>
        <v>0.22</v>
      </c>
    </row>
    <row r="60" customFormat="false" ht="15" hidden="false" customHeight="false" outlineLevel="0" collapsed="false">
      <c r="B60" s="21" t="s">
        <v>148</v>
      </c>
      <c r="C60" s="30" t="n">
        <f aca="false">IF(C51&gt;$C$10,$C$13,IF(C51&gt;$C$9,$C$12,$C$11))</f>
        <v>0.15</v>
      </c>
      <c r="D60" s="30" t="n">
        <f aca="false">IF(D51&gt;$C$10,$C$13,IF(D51&gt;$C$9,$C$12,$C$11))</f>
        <v>0.15</v>
      </c>
      <c r="E60" s="30" t="n">
        <f aca="false">IF(E51&gt;$C$10,$C$13,IF(E51&gt;$C$9,$C$12,$C$11))</f>
        <v>0.15</v>
      </c>
      <c r="F60" s="30" t="n">
        <f aca="false">IF(F51&gt;$C$10,$C$13,IF(F51&gt;$C$9,$C$12,$C$11))</f>
        <v>0.15</v>
      </c>
      <c r="G60" s="30" t="n">
        <f aca="false">IF(G51&gt;$C$10,$C$13,IF(G51&gt;$C$9,$C$12,$C$11))</f>
        <v>0.15</v>
      </c>
    </row>
    <row r="61" customFormat="false" ht="15" hidden="false" customHeight="false" outlineLevel="0" collapsed="false">
      <c r="B61" s="20" t="s">
        <v>149</v>
      </c>
    </row>
    <row r="63" customFormat="false" ht="18" hidden="false" customHeight="true" outlineLevel="0" collapsed="false">
      <c r="B63" s="8" t="s">
        <v>150</v>
      </c>
      <c r="C63" s="8"/>
      <c r="D63" s="8"/>
      <c r="E63" s="8"/>
      <c r="F63" s="8"/>
      <c r="G63" s="8"/>
      <c r="H63" s="8"/>
      <c r="I63" s="8"/>
      <c r="J63" s="8"/>
    </row>
    <row r="64" customFormat="false" ht="15" hidden="false" customHeight="false" outlineLevel="0" collapsed="false">
      <c r="B64" s="7" t="s">
        <v>6</v>
      </c>
      <c r="C64" s="7" t="s">
        <v>94</v>
      </c>
      <c r="D64" s="7" t="s">
        <v>151</v>
      </c>
      <c r="J64" s="7" t="s">
        <v>152</v>
      </c>
    </row>
    <row r="65" customFormat="false" ht="15" hidden="false" customHeight="false" outlineLevel="0" collapsed="false">
      <c r="B65" s="21" t="s">
        <v>153</v>
      </c>
      <c r="C65" s="31" t="n">
        <f aca="false">D57-C57</f>
        <v>4400</v>
      </c>
      <c r="D65" s="37" t="n">
        <f aca="false">IF($C$33&gt;0,C65/$C$33,0)</f>
        <v>0.22</v>
      </c>
      <c r="J65" s="20" t="s">
        <v>154</v>
      </c>
    </row>
    <row r="66" customFormat="false" ht="15" hidden="false" customHeight="false" outlineLevel="0" collapsed="false">
      <c r="B66" s="21" t="s">
        <v>155</v>
      </c>
      <c r="C66" s="31" t="n">
        <f aca="false">E57-D57</f>
        <v>0</v>
      </c>
      <c r="D66" s="37" t="n">
        <f aca="false">IF($C$30&gt;0,C66/$C$30,0)</f>
        <v>0</v>
      </c>
      <c r="J66" s="20" t="s">
        <v>156</v>
      </c>
    </row>
    <row r="67" customFormat="false" ht="15" hidden="false" customHeight="false" outlineLevel="0" collapsed="false">
      <c r="B67" s="21" t="s">
        <v>157</v>
      </c>
      <c r="C67" s="31" t="n">
        <f aca="false">F57-E57</f>
        <v>3000</v>
      </c>
      <c r="D67" s="37" t="n">
        <f aca="false">IF($C$23&gt;0,C67/$C$23,0)</f>
        <v>0.15</v>
      </c>
      <c r="J67" s="20" t="s">
        <v>158</v>
      </c>
    </row>
    <row r="68" customFormat="false" ht="15" hidden="false" customHeight="false" outlineLevel="0" collapsed="false">
      <c r="B68" s="21" t="s">
        <v>159</v>
      </c>
      <c r="C68" s="31" t="n">
        <f aca="false">G57-F57</f>
        <v>1500</v>
      </c>
      <c r="D68" s="37" t="n">
        <f aca="false">IF($C$31&gt;0,C68/$C$31,0)</f>
        <v>0.15</v>
      </c>
      <c r="J68" s="20" t="s">
        <v>160</v>
      </c>
    </row>
    <row r="69" customFormat="false" ht="15" hidden="false" customHeight="false" outlineLevel="0" collapsed="false">
      <c r="B69" s="27" t="s">
        <v>161</v>
      </c>
      <c r="C69" s="38" t="n">
        <f aca="false">G57-C57</f>
        <v>8900</v>
      </c>
      <c r="D69" s="37" t="n">
        <f aca="false">IF($C$34&gt;0,C69/$C$34,0)</f>
        <v>0.178</v>
      </c>
      <c r="J69" s="20" t="s">
        <v>162</v>
      </c>
    </row>
    <row r="71" customFormat="false" ht="15" hidden="false" customHeight="false" outlineLevel="0" collapsed="false">
      <c r="B71" s="39" t="s">
        <v>163</v>
      </c>
    </row>
    <row r="72" customFormat="false" ht="15" hidden="false" customHeight="false" outlineLevel="0" collapsed="false">
      <c r="B72" s="21" t="s">
        <v>164</v>
      </c>
      <c r="C72" s="16" t="n">
        <f aca="false">C51+$C$8</f>
        <v>182200</v>
      </c>
      <c r="J72" s="20" t="s">
        <v>165</v>
      </c>
    </row>
    <row r="73" customFormat="false" ht="15" hidden="false" customHeight="false" outlineLevel="0" collapsed="false">
      <c r="B73" s="21" t="s">
        <v>166</v>
      </c>
      <c r="C73" s="16" t="n">
        <f aca="false">C72+$C$34</f>
        <v>232200</v>
      </c>
      <c r="J73" s="20" t="s">
        <v>167</v>
      </c>
    </row>
    <row r="74" customFormat="false" ht="15" hidden="false" customHeight="false" outlineLevel="0" collapsed="false">
      <c r="B74" s="21" t="s">
        <v>168</v>
      </c>
      <c r="C74" s="16" t="n">
        <f aca="false">$C$15</f>
        <v>250000</v>
      </c>
    </row>
    <row r="75" customFormat="false" ht="15" hidden="false" customHeight="false" outlineLevel="0" collapsed="false">
      <c r="B75" s="21" t="s">
        <v>169</v>
      </c>
      <c r="C75" s="16" t="n">
        <f aca="false">MAX(0,C73-C74)</f>
        <v>0</v>
      </c>
    </row>
    <row r="76" customFormat="false" ht="15" hidden="false" customHeight="false" outlineLevel="0" collapsed="false">
      <c r="B76" s="21" t="s">
        <v>170</v>
      </c>
      <c r="C76" s="16" t="n">
        <f aca="false">MIN($C$34,C75)</f>
        <v>0</v>
      </c>
      <c r="J76" s="20" t="s">
        <v>171</v>
      </c>
    </row>
    <row r="77" customFormat="false" ht="15" hidden="false" customHeight="false" outlineLevel="0" collapsed="false">
      <c r="B77" s="27" t="s">
        <v>172</v>
      </c>
      <c r="C77" s="38" t="n">
        <f aca="false">C76*$C$14</f>
        <v>0</v>
      </c>
      <c r="J77" s="20" t="s">
        <v>173</v>
      </c>
    </row>
    <row r="79" customFormat="false" ht="15" hidden="false" customHeight="false" outlineLevel="0" collapsed="false">
      <c r="B79" s="27" t="s">
        <v>174</v>
      </c>
      <c r="C79" s="38" t="n">
        <f aca="false">$C$69+$C$77</f>
        <v>8900</v>
      </c>
      <c r="D79" s="37" t="n">
        <f aca="false">IF($C$34&gt;0,C79/$C$34,0)</f>
        <v>0.178</v>
      </c>
      <c r="J79" s="20" t="s">
        <v>175</v>
      </c>
    </row>
    <row r="82" customFormat="false" ht="18" hidden="false" customHeight="true" outlineLevel="0" collapsed="false">
      <c r="B82" s="8" t="s">
        <v>176</v>
      </c>
      <c r="C82" s="8"/>
      <c r="D82" s="8"/>
      <c r="E82" s="8"/>
      <c r="F82" s="8"/>
      <c r="G82" s="8"/>
      <c r="H82" s="8"/>
      <c r="I82" s="8"/>
      <c r="J82" s="8"/>
    </row>
    <row r="83" customFormat="false" ht="25.5" hidden="false" customHeight="true" outlineLevel="0" collapsed="false">
      <c r="B83" s="7" t="s">
        <v>177</v>
      </c>
      <c r="C83" s="7" t="s">
        <v>114</v>
      </c>
      <c r="D83" s="7" t="s">
        <v>178</v>
      </c>
      <c r="E83" s="7" t="s">
        <v>116</v>
      </c>
      <c r="F83" s="7" t="s">
        <v>117</v>
      </c>
      <c r="G83" s="7" t="s">
        <v>118</v>
      </c>
      <c r="H83" s="7" t="s">
        <v>119</v>
      </c>
      <c r="I83" s="7" t="s">
        <v>179</v>
      </c>
    </row>
    <row r="84" customFormat="false" ht="15" hidden="false" customHeight="false" outlineLevel="0" collapsed="false">
      <c r="B84" s="21" t="s">
        <v>121</v>
      </c>
      <c r="C84" s="40" t="n">
        <f aca="false">IF($C$16="A",'Tax Tables &amp; Assumptions'!$D$33,'Tax Tables &amp; Assumptions'!$F$33)</f>
        <v>0.014</v>
      </c>
      <c r="D84" s="41" t="n">
        <f aca="false">IF($C$16="A",IF('Tax Tables &amp; Assumptions'!$C$33="",1000000000000,'Tax Tables &amp; Assumptions'!$C$33),IF('Tax Tables &amp; Assumptions'!$E$33="",1000000000000,'Tax Tables &amp; Assumptions'!$E$33))</f>
        <v>0</v>
      </c>
      <c r="E84" s="29" t="n">
        <f aca="false">D85</f>
        <v>20000</v>
      </c>
      <c r="F84" s="42" t="n">
        <f aca="false">C84</f>
        <v>0.014</v>
      </c>
      <c r="G84" s="16" t="n">
        <f aca="false">MAX(0,MIN($C$95,E84)-D84)</f>
        <v>20000</v>
      </c>
      <c r="H84" s="16" t="n">
        <f aca="false">MAX(0,MIN($D$95,E84)-D84)</f>
        <v>20000</v>
      </c>
      <c r="I84" s="31" t="n">
        <f aca="false">(H84-G84)*C84</f>
        <v>0</v>
      </c>
    </row>
    <row r="85" customFormat="false" ht="15" hidden="false" customHeight="false" outlineLevel="0" collapsed="false">
      <c r="B85" s="21" t="s">
        <v>122</v>
      </c>
      <c r="C85" s="40" t="n">
        <f aca="false">IF(D85&gt;=1000000000000,C84,IF($C$16="A",'Tax Tables &amp; Assumptions'!$D$34,'Tax Tables &amp; Assumptions'!$F$34))</f>
        <v>0.0175</v>
      </c>
      <c r="D85" s="41" t="n">
        <f aca="false">IF($C$16="A",IF('Tax Tables &amp; Assumptions'!$C$34="",1000000000000,'Tax Tables &amp; Assumptions'!$C$34),IF('Tax Tables &amp; Assumptions'!$E$34="",1000000000000,'Tax Tables &amp; Assumptions'!$E$34))</f>
        <v>20000</v>
      </c>
      <c r="E85" s="29" t="n">
        <f aca="false">D86</f>
        <v>50000</v>
      </c>
      <c r="F85" s="42" t="n">
        <f aca="false">C85-C84</f>
        <v>0.0035</v>
      </c>
      <c r="G85" s="16" t="n">
        <f aca="false">MAX(0,MIN($C$95,E85)-D85)</f>
        <v>30000</v>
      </c>
      <c r="H85" s="16" t="n">
        <f aca="false">MAX(0,MIN($D$95,E85)-D85)</f>
        <v>30000</v>
      </c>
      <c r="I85" s="31" t="n">
        <f aca="false">(H85-G85)*C85</f>
        <v>0</v>
      </c>
    </row>
    <row r="86" customFormat="false" ht="15" hidden="false" customHeight="false" outlineLevel="0" collapsed="false">
      <c r="B86" s="21" t="s">
        <v>123</v>
      </c>
      <c r="C86" s="40" t="n">
        <f aca="false">IF(D86&gt;=1000000000000,C85,IF($C$16="A",'Tax Tables &amp; Assumptions'!$D$35,'Tax Tables &amp; Assumptions'!$F$35))</f>
        <v>0.0245</v>
      </c>
      <c r="D86" s="41" t="n">
        <f aca="false">IF($C$16="A",IF('Tax Tables &amp; Assumptions'!$C$35="",1000000000000,'Tax Tables &amp; Assumptions'!$C$35),IF('Tax Tables &amp; Assumptions'!$E$35="",1000000000000,'Tax Tables &amp; Assumptions'!$E$35))</f>
        <v>50000</v>
      </c>
      <c r="E86" s="29" t="n">
        <f aca="false">D87</f>
        <v>70000</v>
      </c>
      <c r="F86" s="42" t="n">
        <f aca="false">C86-C85</f>
        <v>0.007</v>
      </c>
      <c r="G86" s="16" t="n">
        <f aca="false">MAX(0,MIN($C$95,E86)-D86)</f>
        <v>20000</v>
      </c>
      <c r="H86" s="16" t="n">
        <f aca="false">MAX(0,MIN($D$95,E86)-D86)</f>
        <v>20000</v>
      </c>
      <c r="I86" s="31" t="n">
        <f aca="false">(H86-G86)*C86</f>
        <v>0</v>
      </c>
    </row>
    <row r="87" customFormat="false" ht="15" hidden="false" customHeight="false" outlineLevel="0" collapsed="false">
      <c r="B87" s="21" t="s">
        <v>124</v>
      </c>
      <c r="C87" s="40" t="n">
        <f aca="false">IF(D87&gt;=1000000000000,C86,IF($C$16="A",'Tax Tables &amp; Assumptions'!$D$36,'Tax Tables &amp; Assumptions'!$F$36))</f>
        <v>0.035</v>
      </c>
      <c r="D87" s="41" t="n">
        <f aca="false">IF($C$16="A",IF('Tax Tables &amp; Assumptions'!$C$36="",1000000000000,'Tax Tables &amp; Assumptions'!$C$36),IF('Tax Tables &amp; Assumptions'!$E$36="",1000000000000,'Tax Tables &amp; Assumptions'!$E$36))</f>
        <v>70000</v>
      </c>
      <c r="E87" s="29" t="n">
        <f aca="false">D88</f>
        <v>80000</v>
      </c>
      <c r="F87" s="42" t="n">
        <f aca="false">C87-C86</f>
        <v>0.0105</v>
      </c>
      <c r="G87" s="16" t="n">
        <f aca="false">MAX(0,MIN($C$95,E87)-D87)</f>
        <v>10000</v>
      </c>
      <c r="H87" s="16" t="n">
        <f aca="false">MAX(0,MIN($D$95,E87)-D87)</f>
        <v>10000</v>
      </c>
      <c r="I87" s="31" t="n">
        <f aca="false">(H87-G87)*C87</f>
        <v>0</v>
      </c>
    </row>
    <row r="88" customFormat="false" ht="15" hidden="false" customHeight="false" outlineLevel="0" collapsed="false">
      <c r="B88" s="21" t="s">
        <v>125</v>
      </c>
      <c r="C88" s="40" t="n">
        <f aca="false">IF(D88&gt;=1000000000000,C87,IF($C$16="A",'Tax Tables &amp; Assumptions'!$D$37,'Tax Tables &amp; Assumptions'!$F$37))</f>
        <v>0.05525</v>
      </c>
      <c r="D88" s="41" t="n">
        <f aca="false">IF($C$16="A",IF('Tax Tables &amp; Assumptions'!$C$37="",1000000000000,'Tax Tables &amp; Assumptions'!$C$37),IF('Tax Tables &amp; Assumptions'!$E$37="",1000000000000,'Tax Tables &amp; Assumptions'!$E$37))</f>
        <v>80000</v>
      </c>
      <c r="E88" s="29" t="n">
        <f aca="false">D89</f>
        <v>150000</v>
      </c>
      <c r="F88" s="42" t="n">
        <f aca="false">C88-C87</f>
        <v>0.02025</v>
      </c>
      <c r="G88" s="16" t="n">
        <f aca="false">MAX(0,MIN($C$95,E88)-D88)</f>
        <v>70000</v>
      </c>
      <c r="H88" s="16" t="n">
        <f aca="false">MAX(0,MIN($D$95,E88)-D88)</f>
        <v>70000</v>
      </c>
      <c r="I88" s="31" t="n">
        <f aca="false">(H88-G88)*C88</f>
        <v>0</v>
      </c>
    </row>
    <row r="89" customFormat="false" ht="15" hidden="false" customHeight="false" outlineLevel="0" collapsed="false">
      <c r="B89" s="21" t="s">
        <v>126</v>
      </c>
      <c r="C89" s="40" t="n">
        <f aca="false">IF(D89&gt;=1000000000000,C88,IF($C$16="A",'Tax Tables &amp; Assumptions'!$D$38,'Tax Tables &amp; Assumptions'!$F$38))</f>
        <v>0.0637</v>
      </c>
      <c r="D89" s="41" t="n">
        <f aca="false">IF($C$16="A",IF('Tax Tables &amp; Assumptions'!$C$38="",1000000000000,'Tax Tables &amp; Assumptions'!$C$38),IF('Tax Tables &amp; Assumptions'!$E$38="",1000000000000,'Tax Tables &amp; Assumptions'!$E$38))</f>
        <v>150000</v>
      </c>
      <c r="E89" s="29" t="n">
        <f aca="false">D90</f>
        <v>500000</v>
      </c>
      <c r="F89" s="42" t="n">
        <f aca="false">C89-C88</f>
        <v>0.00845000000000001</v>
      </c>
      <c r="G89" s="16" t="n">
        <f aca="false">MAX(0,MIN($C$95,E89)-D89)</f>
        <v>30200</v>
      </c>
      <c r="H89" s="16" t="n">
        <f aca="false">MAX(0,MIN($D$95,E89)-D89)</f>
        <v>80200</v>
      </c>
      <c r="I89" s="31" t="n">
        <f aca="false">(H89-G89)*C89</f>
        <v>3185</v>
      </c>
    </row>
    <row r="90" customFormat="false" ht="15" hidden="false" customHeight="false" outlineLevel="0" collapsed="false">
      <c r="B90" s="21" t="s">
        <v>127</v>
      </c>
      <c r="C90" s="40" t="n">
        <f aca="false">IF(D90&gt;=1000000000000,C89,IF($C$16="A",'Tax Tables &amp; Assumptions'!$D$39,'Tax Tables &amp; Assumptions'!$F$39))</f>
        <v>0.0897</v>
      </c>
      <c r="D90" s="41" t="n">
        <f aca="false">IF($C$16="A",IF('Tax Tables &amp; Assumptions'!$C$39="",1000000000000,'Tax Tables &amp; Assumptions'!$C$39),IF('Tax Tables &amp; Assumptions'!$E$39="",1000000000000,'Tax Tables &amp; Assumptions'!$E$39))</f>
        <v>500000</v>
      </c>
      <c r="E90" s="29" t="n">
        <f aca="false">D91</f>
        <v>1000000</v>
      </c>
      <c r="F90" s="42" t="n">
        <f aca="false">C90-C89</f>
        <v>0.026</v>
      </c>
      <c r="G90" s="16" t="n">
        <f aca="false">MAX(0,MIN($C$95,E90)-D90)</f>
        <v>0</v>
      </c>
      <c r="H90" s="16" t="n">
        <f aca="false">MAX(0,MIN($D$95,E90)-D90)</f>
        <v>0</v>
      </c>
      <c r="I90" s="31" t="n">
        <f aca="false">(H90-G90)*C90</f>
        <v>0</v>
      </c>
    </row>
    <row r="91" customFormat="false" ht="15" hidden="false" customHeight="false" outlineLevel="0" collapsed="false">
      <c r="B91" s="21" t="s">
        <v>180</v>
      </c>
      <c r="C91" s="40" t="n">
        <f aca="false">IF(D91&gt;=1000000000000,C90,IF($C$16="A",'Tax Tables &amp; Assumptions'!$D$40,'Tax Tables &amp; Assumptions'!$F$40))</f>
        <v>0.1075</v>
      </c>
      <c r="D91" s="41" t="n">
        <f aca="false">IF($C$16="A",IF('Tax Tables &amp; Assumptions'!$C$40="",1000000000000,'Tax Tables &amp; Assumptions'!$C$40),IF('Tax Tables &amp; Assumptions'!$E$40="",1000000000000,'Tax Tables &amp; Assumptions'!$E$40))</f>
        <v>1000000</v>
      </c>
      <c r="E91" s="29" t="n">
        <f aca="false">1000000000000</f>
        <v>1000000000000</v>
      </c>
      <c r="F91" s="42" t="n">
        <f aca="false">C91-C90</f>
        <v>0.0178</v>
      </c>
      <c r="G91" s="16" t="n">
        <f aca="false">MAX(0,MIN($C$95,E91)-D91)</f>
        <v>0</v>
      </c>
      <c r="H91" s="16" t="n">
        <f aca="false">MAX(0,MIN($D$95,E91)-D91)</f>
        <v>0</v>
      </c>
      <c r="I91" s="31" t="n">
        <f aca="false">(H91-G91)*C91</f>
        <v>0</v>
      </c>
    </row>
    <row r="92" customFormat="false" ht="15" hidden="false" customHeight="false" outlineLevel="0" collapsed="false">
      <c r="B92" s="27" t="s">
        <v>181</v>
      </c>
      <c r="G92" s="32" t="n">
        <f aca="false">SUM(G84:G91)</f>
        <v>180200</v>
      </c>
      <c r="H92" s="32" t="n">
        <f aca="false">SUM(H84:H91)</f>
        <v>230200</v>
      </c>
      <c r="I92" s="33" t="n">
        <f aca="false">SUM(I84:I91)</f>
        <v>3185</v>
      </c>
    </row>
    <row r="94" customFormat="false" ht="25.5" hidden="false" customHeight="true" outlineLevel="0" collapsed="false">
      <c r="B94" s="7" t="s">
        <v>182</v>
      </c>
      <c r="C94" s="7" t="s">
        <v>183</v>
      </c>
      <c r="D94" s="7" t="s">
        <v>184</v>
      </c>
      <c r="E94" s="7" t="s">
        <v>185</v>
      </c>
      <c r="J94" s="7" t="s">
        <v>152</v>
      </c>
    </row>
    <row r="95" customFormat="false" ht="15" hidden="false" customHeight="false" outlineLevel="0" collapsed="false">
      <c r="B95" s="21" t="s">
        <v>186</v>
      </c>
      <c r="C95" s="16" t="n">
        <f aca="false">IF('Client Input'!$C$16="",MAX(0,C51+$C$8-$C$18-$C$17),MAX(0,'Client Input'!$C$16))</f>
        <v>180200</v>
      </c>
      <c r="D95" s="16" t="n">
        <f aca="false">C95+$G$32</f>
        <v>230200</v>
      </c>
      <c r="E95" s="16" t="n">
        <f aca="false">D95-C95</f>
        <v>50000</v>
      </c>
      <c r="J95" s="20" t="s">
        <v>187</v>
      </c>
    </row>
    <row r="96" customFormat="false" ht="15" hidden="false" customHeight="false" outlineLevel="0" collapsed="false">
      <c r="B96" s="21" t="s">
        <v>188</v>
      </c>
      <c r="C96" s="16" t="n">
        <f aca="false">IF('Client Input'!$C$16="",C51+$C$8,C95+$C$17+$C$18)</f>
        <v>182200</v>
      </c>
      <c r="D96" s="16" t="n">
        <f aca="false">C96+$G$32</f>
        <v>232200</v>
      </c>
      <c r="E96" s="16" t="n">
        <f aca="false">D96-C96</f>
        <v>50000</v>
      </c>
      <c r="J96" s="20" t="s">
        <v>189</v>
      </c>
    </row>
    <row r="97" customFormat="false" ht="15" hidden="false" customHeight="false" outlineLevel="0" collapsed="false">
      <c r="B97" s="21" t="s">
        <v>190</v>
      </c>
      <c r="C97" s="31" t="n">
        <f aca="false">SUMPRODUCT((C95&gt;$D$84:$D$91)*(C95-$D$84:$D$91)*$F$84:$F$91)</f>
        <v>7436.24</v>
      </c>
      <c r="D97" s="31" t="n">
        <f aca="false">SUMPRODUCT((D95&gt;$D$84:$D$91)*(D95-$D$84:$D$91)*$F$84:$F$91)</f>
        <v>10621.24</v>
      </c>
      <c r="E97" s="31" t="n">
        <f aca="false">D97-C97</f>
        <v>3185</v>
      </c>
    </row>
    <row r="98" customFormat="false" ht="15" hidden="false" customHeight="false" outlineLevel="0" collapsed="false">
      <c r="B98" s="27" t="s">
        <v>191</v>
      </c>
      <c r="C98" s="35" t="n">
        <f aca="false">IF($C$6=0,0,IF(C96&lt;=$C$19,0,C97))</f>
        <v>7436.24</v>
      </c>
      <c r="D98" s="35" t="n">
        <f aca="false">IF($C$6=0,0,IF(D96&lt;=$C$19,0,D97))</f>
        <v>10621.24</v>
      </c>
      <c r="E98" s="38" t="n">
        <f aca="false">D98-C98</f>
        <v>3185</v>
      </c>
      <c r="J98" s="20" t="s">
        <v>192</v>
      </c>
    </row>
    <row r="99" customFormat="false" ht="15" hidden="false" customHeight="false" outlineLevel="0" collapsed="false">
      <c r="B99" s="21" t="s">
        <v>193</v>
      </c>
      <c r="C99" s="42" t="n">
        <f aca="false">INDEX($C$84:$C$91,MATCH(C95,$D$84:$D$91,1))</f>
        <v>0.0637</v>
      </c>
      <c r="D99" s="42" t="n">
        <f aca="false">INDEX($C$84:$C$91,MATCH(D95,$D$84:$D$91,1))</f>
        <v>0.0637</v>
      </c>
    </row>
    <row r="100" customFormat="false" ht="15" hidden="false" customHeight="false" outlineLevel="0" collapsed="false">
      <c r="B100" s="21" t="s">
        <v>194</v>
      </c>
      <c r="E100" s="37" t="n">
        <f aca="false">IF($G$32&gt;0,E98/$G$32,0)</f>
        <v>0.0637</v>
      </c>
    </row>
    <row r="102" customFormat="false" ht="18" hidden="false" customHeight="true" outlineLevel="0" collapsed="false">
      <c r="B102" s="8" t="s">
        <v>195</v>
      </c>
      <c r="C102" s="8"/>
      <c r="D102" s="8"/>
      <c r="E102" s="8"/>
      <c r="F102" s="8"/>
      <c r="G102" s="8"/>
      <c r="H102" s="8"/>
      <c r="I102" s="8"/>
      <c r="J102" s="8"/>
    </row>
    <row r="103" customFormat="false" ht="15" hidden="false" customHeight="false" outlineLevel="0" collapsed="false">
      <c r="B103" s="21" t="s">
        <v>196</v>
      </c>
      <c r="C103" s="31" t="n">
        <f aca="false">$C$69</f>
        <v>8900</v>
      </c>
    </row>
    <row r="104" customFormat="false" ht="15" hidden="false" customHeight="false" outlineLevel="0" collapsed="false">
      <c r="B104" s="21" t="s">
        <v>197</v>
      </c>
      <c r="C104" s="31" t="n">
        <f aca="false">$C$77</f>
        <v>0</v>
      </c>
    </row>
    <row r="105" customFormat="false" ht="15" hidden="false" customHeight="false" outlineLevel="0" collapsed="false">
      <c r="B105" s="21" t="s">
        <v>198</v>
      </c>
      <c r="C105" s="31" t="n">
        <f aca="false">$E$98</f>
        <v>3185</v>
      </c>
    </row>
    <row r="106" customFormat="false" ht="15" hidden="false" customHeight="false" outlineLevel="0" collapsed="false">
      <c r="B106" s="27" t="s">
        <v>199</v>
      </c>
      <c r="C106" s="35" t="n">
        <f aca="false">$C$103+$C$104+$C$105</f>
        <v>12085</v>
      </c>
    </row>
    <row r="107" customFormat="false" ht="15" hidden="false" customHeight="false" outlineLevel="0" collapsed="false">
      <c r="B107" s="27" t="s">
        <v>200</v>
      </c>
      <c r="C107" s="35" t="n">
        <f aca="false">$C$32-$C$106</f>
        <v>37915</v>
      </c>
    </row>
    <row r="108" customFormat="false" ht="15" hidden="false" customHeight="false" outlineLevel="0" collapsed="false">
      <c r="B108" s="21" t="s">
        <v>201</v>
      </c>
      <c r="C108" s="37" t="n">
        <f aca="false">IF($C$32&gt;0,$C$106/$C$32,0)</f>
        <v>0.2417</v>
      </c>
    </row>
    <row r="109" customFormat="false" ht="15" hidden="false" customHeight="false" outlineLevel="0" collapsed="false">
      <c r="B109" s="21" t="s">
        <v>202</v>
      </c>
      <c r="C109" s="37" t="n">
        <f aca="false">IF($C$34&gt;0,$C$106/$C$34,0)</f>
        <v>0.2417</v>
      </c>
    </row>
    <row r="110" customFormat="false" ht="15" hidden="false" customHeight="false" outlineLevel="0" collapsed="false">
      <c r="B110" s="21" t="s">
        <v>203</v>
      </c>
      <c r="C110" s="36" t="str">
        <f aca="false">IF(ABS($C$65+$C$66+$C$67+$C$68-$C$69)&lt;0.01,"OK","CHECK")</f>
        <v>OK</v>
      </c>
    </row>
    <row r="111" customFormat="false" ht="15" hidden="false" customHeight="false" outlineLevel="0" collapsed="false">
      <c r="B111" s="21" t="s">
        <v>204</v>
      </c>
      <c r="C111" s="36" t="str">
        <f aca="false">IF(ABS($C$32-'Client Input'!$C$40)&lt;0.01,"OK","CHECK – negative inputs clamped to 0")</f>
        <v>OK</v>
      </c>
    </row>
  </sheetData>
  <sheetProtection sheet="true" formatColumns="false" formatRows="false"/>
  <mergeCells count="7">
    <mergeCell ref="B4:J4"/>
    <mergeCell ref="B21:J21"/>
    <mergeCell ref="B36:J36"/>
    <mergeCell ref="B47:J47"/>
    <mergeCell ref="B63:J63"/>
    <mergeCell ref="B82:J82"/>
    <mergeCell ref="B102:J10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F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20"/>
    <col collapsed="false" customWidth="true" hidden="false" outlineLevel="0" max="4" min="4" style="0" width="4"/>
    <col collapsed="false" customWidth="true" hidden="false" outlineLevel="0" max="5" min="5" style="0" width="36"/>
    <col collapsed="false" customWidth="true" hidden="false" outlineLevel="0" max="6" min="6" style="0" width="18"/>
  </cols>
  <sheetData>
    <row r="1" customFormat="false" ht="22.05" hidden="false" customHeight="false" outlineLevel="0" collapsed="false">
      <c r="B1" s="43" t="s">
        <v>205</v>
      </c>
      <c r="C1" s="43"/>
      <c r="D1" s="43"/>
      <c r="E1" s="43"/>
      <c r="F1" s="43"/>
    </row>
    <row r="2" customFormat="false" ht="15" hidden="false" customHeight="false" outlineLevel="0" collapsed="false">
      <c r="B2" s="44" t="s">
        <v>206</v>
      </c>
      <c r="C2" s="44"/>
      <c r="D2" s="44"/>
      <c r="E2" s="44"/>
      <c r="F2" s="44"/>
    </row>
    <row r="4" customFormat="false" ht="15" hidden="false" customHeight="false" outlineLevel="0" collapsed="false">
      <c r="B4" s="45" t="s">
        <v>207</v>
      </c>
      <c r="C4" s="46" t="str">
        <f aca="false">IF('Client Input'!$C$7="","—",'Client Input'!$C$7)</f>
        <v>Sample Client (replace)</v>
      </c>
      <c r="E4" s="47" t="str">
        <f aca="false">'Client Input'!$C$42</f>
        <v>✓ Inputs complete – results are ESTIMATES only</v>
      </c>
      <c r="F4" s="47"/>
    </row>
    <row r="5" customFormat="false" ht="15" hidden="false" customHeight="false" outlineLevel="0" collapsed="false">
      <c r="B5" s="45" t="s">
        <v>14</v>
      </c>
      <c r="C5" s="48" t="n">
        <f aca="false">IF('Client Input'!$C$8="","—",'Client Input'!$C$8)</f>
        <v>2026</v>
      </c>
      <c r="E5" s="47"/>
      <c r="F5" s="47"/>
    </row>
    <row r="6" customFormat="false" ht="15" hidden="false" customHeight="false" outlineLevel="0" collapsed="false">
      <c r="B6" s="45" t="s">
        <v>16</v>
      </c>
      <c r="C6" s="46" t="str">
        <f aca="false">IF('Client Input'!$C$9="","—",'Client Input'!$C$9)</f>
        <v>Married Filing Jointly</v>
      </c>
      <c r="E6" s="47"/>
      <c r="F6" s="47"/>
    </row>
    <row r="7" customFormat="false" ht="15" hidden="false" customHeight="false" outlineLevel="0" collapsed="false">
      <c r="B7" s="45" t="s">
        <v>208</v>
      </c>
      <c r="C7" s="46" t="str">
        <f aca="false">IF('Client Input'!$C$10="","—",'Client Input'!$C$10)</f>
        <v>Yes</v>
      </c>
      <c r="E7" s="47"/>
      <c r="F7" s="47"/>
    </row>
    <row r="9" customFormat="false" ht="18" hidden="false" customHeight="true" outlineLevel="0" collapsed="false">
      <c r="B9" s="8" t="s">
        <v>209</v>
      </c>
      <c r="C9" s="8"/>
      <c r="E9" s="8" t="s">
        <v>210</v>
      </c>
      <c r="F9" s="8"/>
    </row>
    <row r="10" customFormat="false" ht="15" hidden="false" customHeight="false" outlineLevel="0" collapsed="false">
      <c r="B10" s="49" t="s">
        <v>32</v>
      </c>
      <c r="C10" s="50" t="n">
        <f aca="false">'Tax Calculation'!$C$23</f>
        <v>20000</v>
      </c>
      <c r="E10" s="49" t="s">
        <v>211</v>
      </c>
      <c r="F10" s="50" t="n">
        <f aca="false">'Tax Calculation'!$C$103</f>
        <v>8900</v>
      </c>
    </row>
    <row r="11" customFormat="false" ht="15" hidden="false" customHeight="false" outlineLevel="0" collapsed="false">
      <c r="B11" s="49" t="s">
        <v>212</v>
      </c>
      <c r="C11" s="50" t="n">
        <f aca="false">'Tax Calculation'!$C$24</f>
        <v>5000</v>
      </c>
      <c r="E11" s="49" t="s">
        <v>213</v>
      </c>
      <c r="F11" s="50" t="n">
        <f aca="false">'Tax Calculation'!$C$104</f>
        <v>0</v>
      </c>
    </row>
    <row r="12" customFormat="false" ht="15" hidden="false" customHeight="false" outlineLevel="0" collapsed="false">
      <c r="B12" s="49" t="s">
        <v>214</v>
      </c>
      <c r="C12" s="50" t="n">
        <f aca="false">'Tax Calculation'!$C$25+'Tax Calculation'!$C$26+'Tax Calculation'!$C$27</f>
        <v>15000</v>
      </c>
      <c r="E12" s="49" t="s">
        <v>215</v>
      </c>
      <c r="F12" s="50" t="n">
        <f aca="false">'Tax Calculation'!$C$105</f>
        <v>3185</v>
      </c>
    </row>
    <row r="13" customFormat="false" ht="15" hidden="false" customHeight="false" outlineLevel="0" collapsed="false">
      <c r="B13" s="49" t="s">
        <v>104</v>
      </c>
      <c r="C13" s="50" t="n">
        <f aca="false">'Tax Calculation'!$C$28</f>
        <v>0</v>
      </c>
      <c r="E13" s="51" t="s">
        <v>216</v>
      </c>
      <c r="F13" s="52" t="n">
        <f aca="false">F10+F11+F12</f>
        <v>12085</v>
      </c>
    </row>
    <row r="14" customFormat="false" ht="15" hidden="false" customHeight="false" outlineLevel="0" collapsed="false">
      <c r="B14" s="49" t="s">
        <v>217</v>
      </c>
      <c r="C14" s="50" t="n">
        <f aca="false">'Tax Calculation'!$C$29</f>
        <v>0</v>
      </c>
      <c r="E14" s="39" t="s">
        <v>218</v>
      </c>
      <c r="F14" s="53" t="n">
        <f aca="false">C17-F13</f>
        <v>37915</v>
      </c>
    </row>
    <row r="15" customFormat="false" ht="15" hidden="false" customHeight="false" outlineLevel="0" collapsed="false">
      <c r="B15" s="49" t="s">
        <v>107</v>
      </c>
      <c r="C15" s="50" t="n">
        <f aca="false">'Tax Calculation'!$C$30</f>
        <v>0</v>
      </c>
      <c r="E15" s="39" t="s">
        <v>219</v>
      </c>
      <c r="F15" s="54" t="n">
        <f aca="false">IF(C17&gt;0,F13/C17,0)</f>
        <v>0.2417</v>
      </c>
    </row>
    <row r="16" customFormat="false" ht="15" hidden="false" customHeight="false" outlineLevel="0" collapsed="false">
      <c r="B16" s="49" t="s">
        <v>108</v>
      </c>
      <c r="C16" s="50" t="n">
        <f aca="false">'Tax Calculation'!$C$31</f>
        <v>10000</v>
      </c>
    </row>
    <row r="17" customFormat="false" ht="15" hidden="false" customHeight="false" outlineLevel="0" collapsed="false">
      <c r="B17" s="55" t="s">
        <v>220</v>
      </c>
      <c r="C17" s="56" t="n">
        <f aca="false">SUM(C10:C16)</f>
        <v>50000</v>
      </c>
      <c r="E17" s="20" t="s">
        <v>221</v>
      </c>
    </row>
    <row r="19" customFormat="false" ht="18" hidden="false" customHeight="true" outlineLevel="0" collapsed="false">
      <c r="B19" s="8" t="s">
        <v>222</v>
      </c>
      <c r="C19" s="8"/>
      <c r="E19" s="8" t="s">
        <v>223</v>
      </c>
      <c r="F19" s="8"/>
    </row>
    <row r="20" customFormat="false" ht="15" hidden="false" customHeight="false" outlineLevel="0" collapsed="false">
      <c r="B20" s="49" t="s">
        <v>220</v>
      </c>
      <c r="C20" s="50" t="n">
        <f aca="false">C17</f>
        <v>50000</v>
      </c>
      <c r="E20" s="49" t="s">
        <v>224</v>
      </c>
      <c r="F20" s="50" t="n">
        <f aca="false">'Tax Calculation'!$C$65</f>
        <v>4400</v>
      </c>
    </row>
    <row r="21" customFormat="false" ht="15" hidden="false" customHeight="false" outlineLevel="0" collapsed="false">
      <c r="B21" s="49" t="s">
        <v>225</v>
      </c>
      <c r="C21" s="50" t="n">
        <f aca="false">-(F10+F11)</f>
        <v>-8900</v>
      </c>
      <c r="E21" s="49" t="s">
        <v>107</v>
      </c>
      <c r="F21" s="50" t="n">
        <f aca="false">'Tax Calculation'!$C$66</f>
        <v>0</v>
      </c>
    </row>
    <row r="22" customFormat="false" ht="15" hidden="false" customHeight="false" outlineLevel="0" collapsed="false">
      <c r="B22" s="49" t="s">
        <v>226</v>
      </c>
      <c r="C22" s="50" t="n">
        <f aca="false">-F12</f>
        <v>-3185</v>
      </c>
      <c r="E22" s="49" t="s">
        <v>32</v>
      </c>
      <c r="F22" s="50" t="n">
        <f aca="false">'Tax Calculation'!$C$67</f>
        <v>3000</v>
      </c>
    </row>
    <row r="23" customFormat="false" ht="15" hidden="false" customHeight="false" outlineLevel="0" collapsed="false">
      <c r="B23" s="55" t="s">
        <v>227</v>
      </c>
      <c r="C23" s="56" t="n">
        <f aca="false">SUM(C20:C22)</f>
        <v>37915</v>
      </c>
      <c r="E23" s="49" t="s">
        <v>108</v>
      </c>
      <c r="F23" s="50" t="n">
        <f aca="false">'Tax Calculation'!$C$68</f>
        <v>1500</v>
      </c>
    </row>
    <row r="24" customFormat="false" ht="15" hidden="false" customHeight="false" outlineLevel="0" collapsed="false">
      <c r="E24" s="49" t="s">
        <v>228</v>
      </c>
      <c r="F24" s="50" t="n">
        <f aca="false">'Tax Calculation'!$C$77</f>
        <v>0</v>
      </c>
    </row>
    <row r="25" customFormat="false" ht="15" hidden="false" customHeight="false" outlineLevel="0" collapsed="false">
      <c r="E25" s="55" t="s">
        <v>229</v>
      </c>
      <c r="F25" s="56" t="n">
        <f aca="false">SUM(F20:F24)</f>
        <v>8900</v>
      </c>
    </row>
    <row r="27" customFormat="false" ht="18" hidden="false" customHeight="true" outlineLevel="0" collapsed="false">
      <c r="B27" s="8" t="s">
        <v>230</v>
      </c>
      <c r="C27" s="8"/>
      <c r="E27" s="8" t="s">
        <v>231</v>
      </c>
      <c r="F27" s="8"/>
    </row>
    <row r="28" customFormat="false" ht="15" hidden="false" customHeight="false" outlineLevel="0" collapsed="false">
      <c r="B28" s="7" t="s">
        <v>232</v>
      </c>
      <c r="C28" s="7" t="s">
        <v>94</v>
      </c>
      <c r="E28" s="49" t="s">
        <v>233</v>
      </c>
      <c r="F28" s="57" t="n">
        <f aca="false">'Tax Calculation'!$G$59</f>
        <v>0.22</v>
      </c>
    </row>
    <row r="29" customFormat="false" ht="15" hidden="false" customHeight="false" outlineLevel="0" collapsed="false">
      <c r="B29" s="21" t="s">
        <v>234</v>
      </c>
      <c r="C29" s="58" t="n">
        <f aca="false">C17</f>
        <v>50000</v>
      </c>
      <c r="E29" s="49" t="s">
        <v>235</v>
      </c>
      <c r="F29" s="57" t="n">
        <f aca="false">'Tax Calculation'!$G$60</f>
        <v>0.15</v>
      </c>
    </row>
    <row r="30" customFormat="false" ht="15" hidden="false" customHeight="false" outlineLevel="0" collapsed="false">
      <c r="B30" s="21" t="s">
        <v>236</v>
      </c>
      <c r="C30" s="58" t="n">
        <f aca="false">F10+F11</f>
        <v>8900</v>
      </c>
      <c r="E30" s="49" t="s">
        <v>237</v>
      </c>
      <c r="F30" s="59" t="str">
        <f aca="false">IF('Tax Calculation'!$C$77&gt;0,"Yes – 3.8%","No")</f>
        <v>No</v>
      </c>
    </row>
    <row r="31" customFormat="false" ht="15" hidden="false" customHeight="false" outlineLevel="0" collapsed="false">
      <c r="B31" s="21" t="s">
        <v>238</v>
      </c>
      <c r="C31" s="58" t="n">
        <f aca="false">F12</f>
        <v>3185</v>
      </c>
      <c r="E31" s="49" t="s">
        <v>239</v>
      </c>
      <c r="F31" s="60" t="n">
        <f aca="false">IF('Tax Calculation'!$C$6=0,"n/a",'Tax Calculation'!$D$99)</f>
        <v>0.0637</v>
      </c>
    </row>
    <row r="32" customFormat="false" ht="15" hidden="false" customHeight="false" outlineLevel="0" collapsed="false">
      <c r="B32" s="27" t="s">
        <v>240</v>
      </c>
      <c r="C32" s="61" t="n">
        <f aca="false">F13</f>
        <v>12085</v>
      </c>
      <c r="E32" s="49" t="s">
        <v>241</v>
      </c>
      <c r="F32" s="50" t="n">
        <f aca="false">'Tax Calculation'!$H$32</f>
        <v>0</v>
      </c>
    </row>
    <row r="33" customFormat="false" ht="15" hidden="false" customHeight="false" outlineLevel="0" collapsed="false">
      <c r="B33" s="27" t="s">
        <v>242</v>
      </c>
      <c r="C33" s="61" t="n">
        <f aca="false">F14</f>
        <v>37915</v>
      </c>
    </row>
    <row r="34" customFormat="false" ht="15" hidden="false" customHeight="false" outlineLevel="0" collapsed="false">
      <c r="B34" s="27" t="s">
        <v>243</v>
      </c>
      <c r="C34" s="62" t="n">
        <f aca="false">F15</f>
        <v>0.2417</v>
      </c>
    </row>
    <row r="36" customFormat="false" ht="15" hidden="false" customHeight="false" outlineLevel="0" collapsed="false">
      <c r="B36" s="63" t="s">
        <v>244</v>
      </c>
      <c r="C36" s="63"/>
      <c r="D36" s="63"/>
      <c r="E36" s="63"/>
      <c r="F36" s="63"/>
    </row>
    <row r="37" customFormat="false" ht="15" hidden="false" customHeight="true" outlineLevel="0" collapsed="false">
      <c r="B37" s="64" t="s">
        <v>245</v>
      </c>
      <c r="C37" s="64"/>
      <c r="D37" s="64"/>
      <c r="E37" s="64"/>
      <c r="F37" s="64"/>
    </row>
    <row r="38" customFormat="false" ht="15" hidden="false" customHeight="false" outlineLevel="0" collapsed="false">
      <c r="B38" s="64"/>
      <c r="C38" s="64"/>
      <c r="D38" s="64"/>
      <c r="E38" s="64"/>
      <c r="F38" s="64"/>
    </row>
    <row r="39" customFormat="false" ht="15" hidden="false" customHeight="false" outlineLevel="0" collapsed="false">
      <c r="B39" s="64"/>
      <c r="C39" s="64"/>
      <c r="D39" s="64"/>
      <c r="E39" s="64"/>
      <c r="F39" s="64"/>
    </row>
    <row r="40" customFormat="false" ht="15" hidden="false" customHeight="false" outlineLevel="0" collapsed="false">
      <c r="B40" s="64"/>
      <c r="C40" s="64"/>
      <c r="D40" s="64"/>
      <c r="E40" s="64"/>
      <c r="F40" s="64"/>
    </row>
    <row r="41" customFormat="false" ht="15" hidden="false" customHeight="false" outlineLevel="0" collapsed="false">
      <c r="B41" s="64"/>
      <c r="C41" s="64"/>
      <c r="D41" s="64"/>
      <c r="E41" s="64"/>
      <c r="F41" s="64"/>
    </row>
    <row r="42" customFormat="false" ht="15" hidden="false" customHeight="false" outlineLevel="0" collapsed="false">
      <c r="B42" s="65" t="str">
        <f aca="false">"Estimate based on "&amp;'Tax Tables &amp; Assumptions'!$C$3&amp;" federal (IRS Rev. Proc. 2025-32, OBBBA) and New Jersey (N.J.S.A. 54A) tax rules. Marginal method: tax with investment income minus tax without it. Assumes the existing income entered is federal taxable income. See the Tax Tables &amp; Assumptions tab."</f>
        <v>Estimate based on 2026 federal (IRS Rev. Proc. 2025-32, OBBBA) and New Jersey (N.J.S.A. 54A) tax rules. Marginal method: tax with investment income minus tax without it. Assumes the existing income entered is federal taxable income. See the Tax Tables &amp; Assumptions tab.</v>
      </c>
      <c r="C42" s="65"/>
      <c r="D42" s="65"/>
      <c r="E42" s="65"/>
      <c r="F42" s="65"/>
    </row>
    <row r="43" customFormat="false" ht="15" hidden="false" customHeight="false" outlineLevel="0" collapsed="false">
      <c r="B43" s="65"/>
      <c r="C43" s="65"/>
      <c r="D43" s="65"/>
      <c r="E43" s="65"/>
      <c r="F43" s="65"/>
    </row>
  </sheetData>
  <sheetProtection sheet="true" formatColumns="false" formatRows="false"/>
  <mergeCells count="12">
    <mergeCell ref="B1:F1"/>
    <mergeCell ref="B2:F2"/>
    <mergeCell ref="E4:F7"/>
    <mergeCell ref="B9:C9"/>
    <mergeCell ref="E9:F9"/>
    <mergeCell ref="B19:C19"/>
    <mergeCell ref="E19:F19"/>
    <mergeCell ref="B27:C27"/>
    <mergeCell ref="E27:F27"/>
    <mergeCell ref="B36:F36"/>
    <mergeCell ref="B37:F41"/>
    <mergeCell ref="B42:F43"/>
  </mergeCells>
  <conditionalFormatting sqref="E4">
    <cfRule type="expression" priority="2" aboveAverage="0" equalAverage="0" bottom="0" percent="0" rank="0" text="" dxfId="0">
      <formula>LEFT(E4,1)="⚠"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7" min="3" style="0" width="16"/>
    <col collapsed="false" customWidth="true" hidden="false" outlineLevel="0" max="8" min="8" style="0" width="10"/>
    <col collapsed="false" customWidth="true" hidden="false" outlineLevel="0" max="9" min="9" style="0" width="70"/>
  </cols>
  <sheetData>
    <row r="1" customFormat="false" ht="19.7" hidden="false" customHeight="false" outlineLevel="0" collapsed="false">
      <c r="B1" s="1" t="s">
        <v>246</v>
      </c>
    </row>
    <row r="2" customFormat="false" ht="15" hidden="false" customHeight="false" outlineLevel="0" collapsed="false">
      <c r="B2" s="2" t="s">
        <v>247</v>
      </c>
    </row>
    <row r="3" customFormat="false" ht="15" hidden="false" customHeight="false" outlineLevel="0" collapsed="false">
      <c r="B3" s="39" t="s">
        <v>248</v>
      </c>
      <c r="C3" s="66" t="n">
        <v>2026</v>
      </c>
      <c r="D3" s="20" t="s">
        <v>249</v>
      </c>
    </row>
    <row r="4" customFormat="false" ht="15" hidden="false" customHeight="false" outlineLevel="0" collapsed="false">
      <c r="B4" s="39" t="s">
        <v>2</v>
      </c>
      <c r="C4" s="67" t="s">
        <v>250</v>
      </c>
      <c r="D4" s="5" t="s">
        <v>251</v>
      </c>
    </row>
    <row r="6" customFormat="false" ht="18" hidden="false" customHeight="true" outlineLevel="0" collapsed="false">
      <c r="B6" s="8" t="s">
        <v>252</v>
      </c>
      <c r="C6" s="8"/>
      <c r="D6" s="8"/>
      <c r="E6" s="8"/>
      <c r="F6" s="8"/>
      <c r="G6" s="8"/>
      <c r="H6" s="8"/>
      <c r="I6" s="8"/>
    </row>
    <row r="7" customFormat="false" ht="22.35" hidden="false" customHeight="false" outlineLevel="0" collapsed="false">
      <c r="B7" s="7" t="s">
        <v>113</v>
      </c>
      <c r="C7" s="7" t="s">
        <v>114</v>
      </c>
      <c r="D7" s="7" t="s">
        <v>253</v>
      </c>
      <c r="E7" s="7" t="s">
        <v>17</v>
      </c>
      <c r="F7" s="7" t="s">
        <v>254</v>
      </c>
      <c r="G7" s="7" t="s">
        <v>255</v>
      </c>
      <c r="H7" s="7" t="s">
        <v>256</v>
      </c>
      <c r="I7" s="7" t="s">
        <v>257</v>
      </c>
    </row>
    <row r="8" customFormat="false" ht="15" hidden="false" customHeight="false" outlineLevel="0" collapsed="false">
      <c r="B8" s="21" t="s">
        <v>121</v>
      </c>
      <c r="C8" s="68" t="n">
        <v>0.1</v>
      </c>
      <c r="D8" s="69" t="n">
        <v>0</v>
      </c>
      <c r="E8" s="69" t="n">
        <v>0</v>
      </c>
      <c r="F8" s="69" t="n">
        <v>0</v>
      </c>
      <c r="G8" s="69" t="n">
        <v>0</v>
      </c>
      <c r="H8" s="70" t="n">
        <f aca="false">$C$3</f>
        <v>2026</v>
      </c>
      <c r="I8" s="20" t="s">
        <v>258</v>
      </c>
    </row>
    <row r="9" customFormat="false" ht="15" hidden="false" customHeight="false" outlineLevel="0" collapsed="false">
      <c r="B9" s="21" t="s">
        <v>122</v>
      </c>
      <c r="C9" s="68" t="n">
        <v>0.12</v>
      </c>
      <c r="D9" s="69" t="n">
        <v>12400</v>
      </c>
      <c r="E9" s="69" t="n">
        <v>24800</v>
      </c>
      <c r="F9" s="69" t="n">
        <v>12400</v>
      </c>
      <c r="G9" s="69" t="n">
        <v>17700</v>
      </c>
      <c r="H9" s="70" t="n">
        <f aca="false">$C$3</f>
        <v>2026</v>
      </c>
      <c r="I9" s="20" t="s">
        <v>259</v>
      </c>
    </row>
    <row r="10" customFormat="false" ht="15" hidden="false" customHeight="false" outlineLevel="0" collapsed="false">
      <c r="B10" s="21" t="s">
        <v>123</v>
      </c>
      <c r="C10" s="68" t="n">
        <v>0.22</v>
      </c>
      <c r="D10" s="69" t="n">
        <v>50400</v>
      </c>
      <c r="E10" s="69" t="n">
        <v>100800</v>
      </c>
      <c r="F10" s="69" t="n">
        <v>50400</v>
      </c>
      <c r="G10" s="69" t="n">
        <v>67450</v>
      </c>
      <c r="H10" s="70" t="n">
        <f aca="false">$C$3</f>
        <v>2026</v>
      </c>
    </row>
    <row r="11" customFormat="false" ht="15" hidden="false" customHeight="false" outlineLevel="0" collapsed="false">
      <c r="B11" s="21" t="s">
        <v>124</v>
      </c>
      <c r="C11" s="68" t="n">
        <v>0.24</v>
      </c>
      <c r="D11" s="69" t="n">
        <v>105700</v>
      </c>
      <c r="E11" s="69" t="n">
        <v>211400</v>
      </c>
      <c r="F11" s="69" t="n">
        <v>105700</v>
      </c>
      <c r="G11" s="69" t="n">
        <v>105700</v>
      </c>
      <c r="H11" s="70" t="n">
        <f aca="false">$C$3</f>
        <v>2026</v>
      </c>
    </row>
    <row r="12" customFormat="false" ht="15" hidden="false" customHeight="false" outlineLevel="0" collapsed="false">
      <c r="B12" s="21" t="s">
        <v>125</v>
      </c>
      <c r="C12" s="68" t="n">
        <v>0.32</v>
      </c>
      <c r="D12" s="69" t="n">
        <v>201775</v>
      </c>
      <c r="E12" s="69" t="n">
        <v>403550</v>
      </c>
      <c r="F12" s="69" t="n">
        <v>201775</v>
      </c>
      <c r="G12" s="69" t="n">
        <v>201750</v>
      </c>
      <c r="H12" s="70" t="n">
        <f aca="false">$C$3</f>
        <v>2026</v>
      </c>
    </row>
    <row r="13" customFormat="false" ht="15" hidden="false" customHeight="false" outlineLevel="0" collapsed="false">
      <c r="B13" s="21" t="s">
        <v>126</v>
      </c>
      <c r="C13" s="68" t="n">
        <v>0.35</v>
      </c>
      <c r="D13" s="69" t="n">
        <v>256225</v>
      </c>
      <c r="E13" s="69" t="n">
        <v>512450</v>
      </c>
      <c r="F13" s="69" t="n">
        <v>256225</v>
      </c>
      <c r="G13" s="69" t="n">
        <v>256200</v>
      </c>
      <c r="H13" s="70" t="n">
        <f aca="false">$C$3</f>
        <v>2026</v>
      </c>
    </row>
    <row r="14" customFormat="false" ht="15" hidden="false" customHeight="false" outlineLevel="0" collapsed="false">
      <c r="B14" s="21" t="s">
        <v>127</v>
      </c>
      <c r="C14" s="68" t="n">
        <v>0.37</v>
      </c>
      <c r="D14" s="69" t="n">
        <v>640600</v>
      </c>
      <c r="E14" s="69" t="n">
        <v>768700</v>
      </c>
      <c r="F14" s="69" t="n">
        <v>384350</v>
      </c>
      <c r="G14" s="69" t="n">
        <v>640600</v>
      </c>
      <c r="H14" s="70" t="n">
        <f aca="false">$C$3</f>
        <v>2026</v>
      </c>
    </row>
    <row r="16" customFormat="false" ht="18" hidden="false" customHeight="true" outlineLevel="0" collapsed="false">
      <c r="B16" s="8" t="s">
        <v>260</v>
      </c>
      <c r="C16" s="8"/>
      <c r="D16" s="8"/>
      <c r="E16" s="8"/>
      <c r="F16" s="8"/>
      <c r="G16" s="8"/>
      <c r="H16" s="8"/>
      <c r="I16" s="8"/>
    </row>
    <row r="17" customFormat="false" ht="22.35" hidden="false" customHeight="false" outlineLevel="0" collapsed="false">
      <c r="B17" s="7" t="s">
        <v>6</v>
      </c>
      <c r="D17" s="7" t="s">
        <v>253</v>
      </c>
      <c r="E17" s="7" t="s">
        <v>17</v>
      </c>
      <c r="F17" s="7" t="s">
        <v>254</v>
      </c>
      <c r="G17" s="7" t="s">
        <v>255</v>
      </c>
      <c r="H17" s="7" t="s">
        <v>256</v>
      </c>
      <c r="I17" s="7" t="s">
        <v>257</v>
      </c>
    </row>
    <row r="18" customFormat="false" ht="36" hidden="false" customHeight="true" outlineLevel="0" collapsed="false">
      <c r="B18" s="21" t="s">
        <v>261</v>
      </c>
      <c r="D18" s="69" t="n">
        <v>16100</v>
      </c>
      <c r="E18" s="69" t="n">
        <v>32200</v>
      </c>
      <c r="F18" s="69" t="n">
        <v>16100</v>
      </c>
      <c r="G18" s="69" t="n">
        <v>24150</v>
      </c>
      <c r="H18" s="70" t="n">
        <f aca="false">$C$3</f>
        <v>2026</v>
      </c>
      <c r="I18" s="12" t="s">
        <v>262</v>
      </c>
    </row>
    <row r="20" customFormat="false" ht="18" hidden="false" customHeight="true" outlineLevel="0" collapsed="false">
      <c r="B20" s="8" t="s">
        <v>263</v>
      </c>
      <c r="C20" s="8"/>
      <c r="D20" s="8"/>
      <c r="E20" s="8"/>
      <c r="F20" s="8"/>
      <c r="G20" s="8"/>
      <c r="H20" s="8"/>
      <c r="I20" s="8"/>
    </row>
    <row r="21" customFormat="false" ht="22.35" hidden="false" customHeight="false" outlineLevel="0" collapsed="false">
      <c r="B21" s="7" t="s">
        <v>264</v>
      </c>
      <c r="C21" s="7" t="s">
        <v>114</v>
      </c>
      <c r="D21" s="7" t="s">
        <v>253</v>
      </c>
      <c r="E21" s="7" t="s">
        <v>17</v>
      </c>
      <c r="F21" s="7" t="s">
        <v>254</v>
      </c>
      <c r="G21" s="7" t="s">
        <v>255</v>
      </c>
      <c r="H21" s="7" t="s">
        <v>256</v>
      </c>
      <c r="I21" s="7" t="s">
        <v>257</v>
      </c>
    </row>
    <row r="22" customFormat="false" ht="24" hidden="false" customHeight="true" outlineLevel="0" collapsed="false">
      <c r="B22" s="21" t="s">
        <v>265</v>
      </c>
      <c r="C22" s="68" t="n">
        <v>0</v>
      </c>
      <c r="D22" s="69" t="n">
        <v>0</v>
      </c>
      <c r="E22" s="69" t="n">
        <v>0</v>
      </c>
      <c r="F22" s="69" t="n">
        <v>0</v>
      </c>
      <c r="G22" s="69" t="n">
        <v>0</v>
      </c>
      <c r="H22" s="70" t="n">
        <f aca="false">$C$3</f>
        <v>2026</v>
      </c>
      <c r="I22" s="12" t="s">
        <v>266</v>
      </c>
    </row>
    <row r="23" customFormat="false" ht="15" hidden="false" customHeight="false" outlineLevel="0" collapsed="false">
      <c r="B23" s="21" t="s">
        <v>267</v>
      </c>
      <c r="C23" s="68" t="n">
        <v>0.15</v>
      </c>
      <c r="D23" s="69" t="n">
        <v>49450</v>
      </c>
      <c r="E23" s="69" t="n">
        <v>98900</v>
      </c>
      <c r="F23" s="69" t="n">
        <v>49450</v>
      </c>
      <c r="G23" s="69" t="n">
        <v>66200</v>
      </c>
      <c r="H23" s="70" t="n">
        <f aca="false">$C$3</f>
        <v>2026</v>
      </c>
      <c r="I23" s="20" t="s">
        <v>268</v>
      </c>
    </row>
    <row r="24" customFormat="false" ht="15" hidden="false" customHeight="false" outlineLevel="0" collapsed="false">
      <c r="B24" s="21" t="s">
        <v>269</v>
      </c>
      <c r="C24" s="68" t="n">
        <v>0.2</v>
      </c>
      <c r="D24" s="69" t="n">
        <v>545500</v>
      </c>
      <c r="E24" s="69" t="n">
        <v>613700</v>
      </c>
      <c r="F24" s="69" t="n">
        <v>306850</v>
      </c>
      <c r="G24" s="69" t="n">
        <v>579600</v>
      </c>
      <c r="H24" s="70" t="n">
        <f aca="false">$C$3</f>
        <v>2026</v>
      </c>
      <c r="I24" s="20" t="s">
        <v>270</v>
      </c>
    </row>
    <row r="26" customFormat="false" ht="18" hidden="false" customHeight="true" outlineLevel="0" collapsed="false">
      <c r="B26" s="8" t="s">
        <v>271</v>
      </c>
      <c r="C26" s="8"/>
      <c r="D26" s="8"/>
      <c r="E26" s="8"/>
      <c r="F26" s="8"/>
      <c r="G26" s="8"/>
      <c r="H26" s="8"/>
      <c r="I26" s="8"/>
    </row>
    <row r="27" customFormat="false" ht="22.35" hidden="false" customHeight="false" outlineLevel="0" collapsed="false">
      <c r="B27" s="7" t="s">
        <v>6</v>
      </c>
      <c r="C27" s="7" t="s">
        <v>114</v>
      </c>
      <c r="D27" s="7" t="s">
        <v>253</v>
      </c>
      <c r="E27" s="7" t="s">
        <v>17</v>
      </c>
      <c r="F27" s="7" t="s">
        <v>254</v>
      </c>
      <c r="G27" s="7" t="s">
        <v>255</v>
      </c>
      <c r="H27" s="7" t="s">
        <v>256</v>
      </c>
      <c r="I27" s="7" t="s">
        <v>257</v>
      </c>
    </row>
    <row r="28" customFormat="false" ht="15" hidden="false" customHeight="false" outlineLevel="0" collapsed="false">
      <c r="B28" s="21" t="s">
        <v>85</v>
      </c>
      <c r="C28" s="71" t="n">
        <v>0.038</v>
      </c>
      <c r="H28" s="70" t="n">
        <f aca="false">$C$3</f>
        <v>2026</v>
      </c>
      <c r="I28" s="20" t="s">
        <v>272</v>
      </c>
    </row>
    <row r="29" customFormat="false" ht="15" hidden="false" customHeight="false" outlineLevel="0" collapsed="false">
      <c r="B29" s="21" t="s">
        <v>273</v>
      </c>
      <c r="D29" s="69" t="n">
        <v>200000</v>
      </c>
      <c r="E29" s="69" t="n">
        <v>250000</v>
      </c>
      <c r="F29" s="69" t="n">
        <v>125000</v>
      </c>
      <c r="G29" s="69" t="n">
        <v>200000</v>
      </c>
      <c r="H29" s="70" t="n">
        <f aca="false">$C$3</f>
        <v>2026</v>
      </c>
      <c r="I29" s="20" t="s">
        <v>274</v>
      </c>
    </row>
    <row r="31" customFormat="false" ht="18" hidden="false" customHeight="true" outlineLevel="0" collapsed="false">
      <c r="B31" s="8" t="s">
        <v>275</v>
      </c>
      <c r="C31" s="8"/>
      <c r="D31" s="8"/>
      <c r="E31" s="8"/>
      <c r="F31" s="8"/>
      <c r="G31" s="8"/>
      <c r="H31" s="8"/>
      <c r="I31" s="8"/>
    </row>
    <row r="32" customFormat="false" ht="30" hidden="false" customHeight="true" outlineLevel="0" collapsed="false">
      <c r="B32" s="7" t="s">
        <v>113</v>
      </c>
      <c r="C32" s="7" t="s">
        <v>276</v>
      </c>
      <c r="D32" s="7" t="s">
        <v>277</v>
      </c>
      <c r="E32" s="7" t="s">
        <v>278</v>
      </c>
      <c r="F32" s="7" t="s">
        <v>279</v>
      </c>
      <c r="H32" s="7" t="s">
        <v>256</v>
      </c>
      <c r="I32" s="7" t="s">
        <v>257</v>
      </c>
    </row>
    <row r="33" customFormat="false" ht="36" hidden="false" customHeight="true" outlineLevel="0" collapsed="false">
      <c r="B33" s="21" t="s">
        <v>121</v>
      </c>
      <c r="C33" s="69" t="n">
        <v>0</v>
      </c>
      <c r="D33" s="72" t="n">
        <v>0.014</v>
      </c>
      <c r="E33" s="69" t="n">
        <v>0</v>
      </c>
      <c r="F33" s="72" t="n">
        <v>0.014</v>
      </c>
      <c r="H33" s="70" t="n">
        <f aca="false">$C$3</f>
        <v>2026</v>
      </c>
      <c r="I33" s="12" t="s">
        <v>280</v>
      </c>
    </row>
    <row r="34" customFormat="false" ht="15" hidden="false" customHeight="false" outlineLevel="0" collapsed="false">
      <c r="B34" s="21" t="s">
        <v>122</v>
      </c>
      <c r="C34" s="69" t="n">
        <v>20000</v>
      </c>
      <c r="D34" s="72" t="n">
        <v>0.0175</v>
      </c>
      <c r="E34" s="69" t="n">
        <v>20000</v>
      </c>
      <c r="F34" s="72" t="n">
        <v>0.0175</v>
      </c>
      <c r="H34" s="70" t="n">
        <f aca="false">$C$3</f>
        <v>2026</v>
      </c>
      <c r="I34" s="20" t="s">
        <v>281</v>
      </c>
    </row>
    <row r="35" customFormat="false" ht="15" hidden="false" customHeight="false" outlineLevel="0" collapsed="false">
      <c r="B35" s="21" t="s">
        <v>123</v>
      </c>
      <c r="C35" s="69" t="n">
        <v>35000</v>
      </c>
      <c r="D35" s="72" t="n">
        <v>0.035</v>
      </c>
      <c r="E35" s="69" t="n">
        <v>50000</v>
      </c>
      <c r="F35" s="72" t="n">
        <v>0.0245</v>
      </c>
      <c r="H35" s="70" t="n">
        <f aca="false">$C$3</f>
        <v>2026</v>
      </c>
      <c r="I35" s="20" t="s">
        <v>282</v>
      </c>
    </row>
    <row r="36" customFormat="false" ht="15" hidden="false" customHeight="false" outlineLevel="0" collapsed="false">
      <c r="B36" s="21" t="s">
        <v>124</v>
      </c>
      <c r="C36" s="69" t="n">
        <v>40000</v>
      </c>
      <c r="D36" s="72" t="n">
        <v>0.05525</v>
      </c>
      <c r="E36" s="69" t="n">
        <v>70000</v>
      </c>
      <c r="F36" s="72" t="n">
        <v>0.035</v>
      </c>
      <c r="H36" s="70" t="n">
        <f aca="false">$C$3</f>
        <v>2026</v>
      </c>
    </row>
    <row r="37" customFormat="false" ht="15" hidden="false" customHeight="false" outlineLevel="0" collapsed="false">
      <c r="B37" s="21" t="s">
        <v>125</v>
      </c>
      <c r="C37" s="69" t="n">
        <v>75000</v>
      </c>
      <c r="D37" s="72" t="n">
        <v>0.0637</v>
      </c>
      <c r="E37" s="69" t="n">
        <v>80000</v>
      </c>
      <c r="F37" s="72" t="n">
        <v>0.05525</v>
      </c>
      <c r="H37" s="70" t="n">
        <f aca="false">$C$3</f>
        <v>2026</v>
      </c>
    </row>
    <row r="38" customFormat="false" ht="15" hidden="false" customHeight="false" outlineLevel="0" collapsed="false">
      <c r="B38" s="21" t="s">
        <v>126</v>
      </c>
      <c r="C38" s="69" t="n">
        <v>500000</v>
      </c>
      <c r="D38" s="72" t="n">
        <v>0.0897</v>
      </c>
      <c r="E38" s="69" t="n">
        <v>150000</v>
      </c>
      <c r="F38" s="72" t="n">
        <v>0.0637</v>
      </c>
      <c r="H38" s="70" t="n">
        <f aca="false">$C$3</f>
        <v>2026</v>
      </c>
    </row>
    <row r="39" customFormat="false" ht="15" hidden="false" customHeight="false" outlineLevel="0" collapsed="false">
      <c r="B39" s="21" t="s">
        <v>127</v>
      </c>
      <c r="C39" s="69" t="n">
        <v>1000000</v>
      </c>
      <c r="D39" s="72" t="n">
        <v>0.1075</v>
      </c>
      <c r="E39" s="69" t="n">
        <v>500000</v>
      </c>
      <c r="F39" s="72" t="n">
        <v>0.0897</v>
      </c>
      <c r="H39" s="70" t="n">
        <f aca="false">$C$3</f>
        <v>2026</v>
      </c>
    </row>
    <row r="40" customFormat="false" ht="15" hidden="false" customHeight="false" outlineLevel="0" collapsed="false">
      <c r="B40" s="21" t="s">
        <v>180</v>
      </c>
      <c r="C40" s="69"/>
      <c r="D40" s="72"/>
      <c r="E40" s="69" t="n">
        <v>1000000</v>
      </c>
      <c r="F40" s="72" t="n">
        <v>0.1075</v>
      </c>
      <c r="H40" s="70" t="n">
        <f aca="false">$C$3</f>
        <v>2026</v>
      </c>
    </row>
    <row r="42" customFormat="false" ht="18" hidden="false" customHeight="true" outlineLevel="0" collapsed="false">
      <c r="B42" s="8" t="s">
        <v>283</v>
      </c>
      <c r="C42" s="8"/>
      <c r="D42" s="8"/>
      <c r="E42" s="8"/>
      <c r="F42" s="8"/>
      <c r="G42" s="8"/>
      <c r="H42" s="8"/>
      <c r="I42" s="8"/>
    </row>
    <row r="43" customFormat="false" ht="22.35" hidden="false" customHeight="false" outlineLevel="0" collapsed="false">
      <c r="B43" s="7" t="s">
        <v>6</v>
      </c>
      <c r="D43" s="7" t="s">
        <v>253</v>
      </c>
      <c r="E43" s="7" t="s">
        <v>17</v>
      </c>
      <c r="F43" s="7" t="s">
        <v>254</v>
      </c>
      <c r="G43" s="7" t="s">
        <v>255</v>
      </c>
      <c r="H43" s="7" t="s">
        <v>256</v>
      </c>
      <c r="I43" s="7" t="s">
        <v>257</v>
      </c>
    </row>
    <row r="44" customFormat="false" ht="15" hidden="false" customHeight="false" outlineLevel="0" collapsed="false">
      <c r="B44" s="21" t="s">
        <v>284</v>
      </c>
      <c r="D44" s="67" t="s">
        <v>285</v>
      </c>
      <c r="E44" s="67" t="s">
        <v>286</v>
      </c>
      <c r="F44" s="67" t="s">
        <v>285</v>
      </c>
      <c r="G44" s="67" t="s">
        <v>286</v>
      </c>
      <c r="H44" s="70" t="n">
        <f aca="false">$C$3</f>
        <v>2026</v>
      </c>
      <c r="I44" s="20" t="s">
        <v>287</v>
      </c>
    </row>
    <row r="45" customFormat="false" ht="15" hidden="false" customHeight="false" outlineLevel="0" collapsed="false">
      <c r="B45" s="21" t="s">
        <v>288</v>
      </c>
      <c r="D45" s="69" t="n">
        <v>1000</v>
      </c>
      <c r="E45" s="69" t="n">
        <v>2000</v>
      </c>
      <c r="F45" s="69" t="n">
        <v>1000</v>
      </c>
      <c r="G45" s="69" t="n">
        <v>1000</v>
      </c>
      <c r="H45" s="70" t="n">
        <f aca="false">$C$3</f>
        <v>2026</v>
      </c>
      <c r="I45" s="20" t="s">
        <v>289</v>
      </c>
    </row>
    <row r="46" customFormat="false" ht="15" hidden="false" customHeight="false" outlineLevel="0" collapsed="false">
      <c r="B46" s="21" t="s">
        <v>290</v>
      </c>
      <c r="D46" s="69" t="n">
        <v>1500</v>
      </c>
      <c r="E46" s="69" t="n">
        <v>1500</v>
      </c>
      <c r="F46" s="69" t="n">
        <v>1500</v>
      </c>
      <c r="G46" s="69" t="n">
        <v>1500</v>
      </c>
      <c r="H46" s="70" t="n">
        <f aca="false">$C$3</f>
        <v>2026</v>
      </c>
      <c r="I46" s="20" t="s">
        <v>291</v>
      </c>
    </row>
    <row r="47" customFormat="false" ht="15" hidden="false" customHeight="false" outlineLevel="0" collapsed="false">
      <c r="B47" s="21" t="s">
        <v>292</v>
      </c>
      <c r="D47" s="69" t="n">
        <v>10000</v>
      </c>
      <c r="E47" s="69" t="n">
        <v>20000</v>
      </c>
      <c r="F47" s="69" t="n">
        <v>10000</v>
      </c>
      <c r="G47" s="69" t="n">
        <v>20000</v>
      </c>
      <c r="H47" s="70" t="n">
        <f aca="false">$C$3</f>
        <v>2026</v>
      </c>
      <c r="I47" s="20" t="s">
        <v>293</v>
      </c>
    </row>
    <row r="48" customFormat="false" ht="15" hidden="false" customHeight="false" outlineLevel="0" collapsed="false">
      <c r="B48" s="21" t="s">
        <v>89</v>
      </c>
      <c r="D48" s="69" t="n">
        <v>0</v>
      </c>
      <c r="E48" s="69" t="n">
        <v>0</v>
      </c>
      <c r="F48" s="69" t="n">
        <v>0</v>
      </c>
      <c r="G48" s="69" t="n">
        <v>0</v>
      </c>
      <c r="H48" s="70" t="n">
        <f aca="false">$C$3</f>
        <v>2026</v>
      </c>
      <c r="I48" s="20" t="s">
        <v>294</v>
      </c>
    </row>
    <row r="50" customFormat="false" ht="18" hidden="false" customHeight="true" outlineLevel="0" collapsed="false">
      <c r="B50" s="8" t="s">
        <v>295</v>
      </c>
      <c r="C50" s="8"/>
      <c r="D50" s="8"/>
      <c r="E50" s="8"/>
      <c r="F50" s="8"/>
      <c r="G50" s="8"/>
      <c r="H50" s="8"/>
      <c r="I50" s="8"/>
    </row>
    <row r="51" customFormat="false" ht="15" hidden="false" customHeight="false" outlineLevel="0" collapsed="false">
      <c r="B51" s="7" t="s">
        <v>296</v>
      </c>
      <c r="C51" s="7" t="s">
        <v>297</v>
      </c>
      <c r="D51" s="7" t="s">
        <v>298</v>
      </c>
      <c r="H51" s="7" t="s">
        <v>256</v>
      </c>
      <c r="I51" s="7" t="s">
        <v>299</v>
      </c>
    </row>
    <row r="52" customFormat="false" ht="24" hidden="false" customHeight="true" outlineLevel="0" collapsed="false">
      <c r="B52" s="21" t="s">
        <v>32</v>
      </c>
      <c r="C52" s="21" t="s">
        <v>300</v>
      </c>
      <c r="D52" s="73" t="s">
        <v>301</v>
      </c>
      <c r="E52" s="73"/>
      <c r="F52" s="73"/>
      <c r="G52" s="73"/>
      <c r="H52" s="70" t="n">
        <f aca="false">$C$3</f>
        <v>2026</v>
      </c>
      <c r="I52" s="12" t="s">
        <v>302</v>
      </c>
    </row>
    <row r="53" customFormat="false" ht="24" hidden="false" customHeight="true" outlineLevel="0" collapsed="false">
      <c r="B53" s="21" t="s">
        <v>34</v>
      </c>
      <c r="C53" s="21" t="s">
        <v>303</v>
      </c>
      <c r="D53" s="73" t="s">
        <v>304</v>
      </c>
      <c r="E53" s="73"/>
      <c r="F53" s="73"/>
      <c r="G53" s="73"/>
      <c r="H53" s="70" t="n">
        <f aca="false">$C$3</f>
        <v>2026</v>
      </c>
      <c r="I53" s="12" t="s">
        <v>305</v>
      </c>
    </row>
    <row r="54" customFormat="false" ht="24" hidden="false" customHeight="true" outlineLevel="0" collapsed="false">
      <c r="B54" s="21" t="s">
        <v>36</v>
      </c>
      <c r="C54" s="21" t="s">
        <v>303</v>
      </c>
      <c r="D54" s="73" t="s">
        <v>306</v>
      </c>
      <c r="E54" s="73"/>
      <c r="F54" s="73"/>
      <c r="G54" s="73"/>
      <c r="H54" s="70" t="n">
        <f aca="false">$C$3</f>
        <v>2026</v>
      </c>
      <c r="I54" s="12" t="s">
        <v>307</v>
      </c>
    </row>
    <row r="55" customFormat="false" ht="24" hidden="false" customHeight="true" outlineLevel="0" collapsed="false">
      <c r="B55" s="21" t="s">
        <v>308</v>
      </c>
      <c r="C55" s="21" t="s">
        <v>303</v>
      </c>
      <c r="D55" s="73" t="s">
        <v>304</v>
      </c>
      <c r="E55" s="73"/>
      <c r="F55" s="73"/>
      <c r="G55" s="73"/>
      <c r="H55" s="70" t="n">
        <f aca="false">$C$3</f>
        <v>2026</v>
      </c>
      <c r="I55" s="12" t="s">
        <v>309</v>
      </c>
    </row>
    <row r="56" customFormat="false" ht="24" hidden="false" customHeight="true" outlineLevel="0" collapsed="false">
      <c r="B56" s="21" t="s">
        <v>104</v>
      </c>
      <c r="C56" s="21" t="s">
        <v>303</v>
      </c>
      <c r="D56" s="74" t="s">
        <v>310</v>
      </c>
      <c r="E56" s="74"/>
      <c r="F56" s="74"/>
      <c r="G56" s="74"/>
      <c r="H56" s="70" t="n">
        <f aca="false">$C$3</f>
        <v>2026</v>
      </c>
      <c r="I56" s="12" t="s">
        <v>311</v>
      </c>
    </row>
    <row r="57" customFormat="false" ht="24" hidden="false" customHeight="true" outlineLevel="0" collapsed="false">
      <c r="B57" s="21" t="s">
        <v>312</v>
      </c>
      <c r="C57" s="21" t="s">
        <v>313</v>
      </c>
      <c r="D57" s="74" t="s">
        <v>310</v>
      </c>
      <c r="E57" s="74"/>
      <c r="F57" s="74"/>
      <c r="G57" s="74"/>
      <c r="H57" s="70" t="n">
        <f aca="false">$C$3</f>
        <v>2026</v>
      </c>
      <c r="I57" s="12" t="s">
        <v>314</v>
      </c>
    </row>
    <row r="58" customFormat="false" ht="24" hidden="false" customHeight="true" outlineLevel="0" collapsed="false">
      <c r="B58" s="21" t="s">
        <v>315</v>
      </c>
      <c r="C58" s="21" t="s">
        <v>313</v>
      </c>
      <c r="D58" s="74" t="s">
        <v>316</v>
      </c>
      <c r="E58" s="74"/>
      <c r="F58" s="74"/>
      <c r="G58" s="74"/>
      <c r="H58" s="70" t="n">
        <f aca="false">$C$3</f>
        <v>2026</v>
      </c>
      <c r="I58" s="12" t="s">
        <v>317</v>
      </c>
    </row>
    <row r="59" customFormat="false" ht="24" hidden="false" customHeight="true" outlineLevel="0" collapsed="false">
      <c r="B59" s="21" t="s">
        <v>107</v>
      </c>
      <c r="C59" s="21" t="s">
        <v>303</v>
      </c>
      <c r="D59" s="73" t="s">
        <v>301</v>
      </c>
      <c r="E59" s="73"/>
      <c r="F59" s="73"/>
      <c r="G59" s="73"/>
      <c r="H59" s="70" t="n">
        <f aca="false">$C$3</f>
        <v>2026</v>
      </c>
      <c r="I59" s="12" t="s">
        <v>318</v>
      </c>
    </row>
    <row r="60" customFormat="false" ht="24" hidden="false" customHeight="true" outlineLevel="0" collapsed="false">
      <c r="B60" s="21" t="s">
        <v>108</v>
      </c>
      <c r="C60" s="21" t="s">
        <v>300</v>
      </c>
      <c r="D60" s="73" t="s">
        <v>301</v>
      </c>
      <c r="E60" s="73"/>
      <c r="F60" s="73"/>
      <c r="G60" s="73"/>
      <c r="H60" s="70" t="n">
        <f aca="false">$C$3</f>
        <v>2026</v>
      </c>
      <c r="I60" s="12" t="s">
        <v>319</v>
      </c>
    </row>
    <row r="62" customFormat="false" ht="18" hidden="false" customHeight="true" outlineLevel="0" collapsed="false">
      <c r="B62" s="8" t="s">
        <v>320</v>
      </c>
      <c r="C62" s="8"/>
      <c r="D62" s="8"/>
      <c r="E62" s="8"/>
      <c r="F62" s="8"/>
      <c r="G62" s="8"/>
      <c r="H62" s="8"/>
      <c r="I62" s="8"/>
    </row>
    <row r="63" customFormat="false" ht="27.75" hidden="false" customHeight="true" outlineLevel="0" collapsed="false">
      <c r="B63" s="75" t="s">
        <v>321</v>
      </c>
      <c r="C63" s="75"/>
      <c r="D63" s="75"/>
      <c r="E63" s="75"/>
      <c r="F63" s="75"/>
      <c r="G63" s="75"/>
      <c r="H63" s="75"/>
      <c r="I63" s="75"/>
    </row>
    <row r="64" customFormat="false" ht="27.75" hidden="false" customHeight="true" outlineLevel="0" collapsed="false">
      <c r="B64" s="75" t="s">
        <v>322</v>
      </c>
      <c r="C64" s="75"/>
      <c r="D64" s="75"/>
      <c r="E64" s="75"/>
      <c r="F64" s="75"/>
      <c r="G64" s="75"/>
      <c r="H64" s="75"/>
      <c r="I64" s="75"/>
    </row>
    <row r="65" customFormat="false" ht="27.75" hidden="false" customHeight="true" outlineLevel="0" collapsed="false">
      <c r="B65" s="75" t="s">
        <v>323</v>
      </c>
      <c r="C65" s="75"/>
      <c r="D65" s="75"/>
      <c r="E65" s="75"/>
      <c r="F65" s="75"/>
      <c r="G65" s="75"/>
      <c r="H65" s="75"/>
      <c r="I65" s="75"/>
    </row>
    <row r="66" customFormat="false" ht="27.75" hidden="false" customHeight="true" outlineLevel="0" collapsed="false">
      <c r="B66" s="75" t="s">
        <v>324</v>
      </c>
      <c r="C66" s="75"/>
      <c r="D66" s="75"/>
      <c r="E66" s="75"/>
      <c r="F66" s="75"/>
      <c r="G66" s="75"/>
      <c r="H66" s="75"/>
      <c r="I66" s="75"/>
    </row>
    <row r="67" customFormat="false" ht="27.75" hidden="false" customHeight="true" outlineLevel="0" collapsed="false">
      <c r="B67" s="75" t="s">
        <v>325</v>
      </c>
      <c r="C67" s="75"/>
      <c r="D67" s="75"/>
      <c r="E67" s="75"/>
      <c r="F67" s="75"/>
      <c r="G67" s="75"/>
      <c r="H67" s="75"/>
      <c r="I67" s="75"/>
    </row>
    <row r="68" customFormat="false" ht="27.75" hidden="false" customHeight="true" outlineLevel="0" collapsed="false">
      <c r="B68" s="75" t="s">
        <v>326</v>
      </c>
      <c r="C68" s="75"/>
      <c r="D68" s="75"/>
      <c r="E68" s="75"/>
      <c r="F68" s="75"/>
      <c r="G68" s="75"/>
      <c r="H68" s="75"/>
      <c r="I68" s="75"/>
    </row>
    <row r="69" customFormat="false" ht="27.75" hidden="false" customHeight="true" outlineLevel="0" collapsed="false">
      <c r="B69" s="75" t="s">
        <v>327</v>
      </c>
      <c r="C69" s="75"/>
      <c r="D69" s="75"/>
      <c r="E69" s="75"/>
      <c r="F69" s="75"/>
      <c r="G69" s="75"/>
      <c r="H69" s="75"/>
      <c r="I69" s="75"/>
    </row>
    <row r="71" customFormat="false" ht="18" hidden="false" customHeight="true" outlineLevel="0" collapsed="false">
      <c r="B71" s="8" t="s">
        <v>328</v>
      </c>
      <c r="C71" s="8"/>
      <c r="D71" s="8"/>
      <c r="E71" s="8"/>
      <c r="F71" s="8"/>
      <c r="G71" s="8"/>
      <c r="H71" s="8"/>
      <c r="I71" s="8"/>
    </row>
    <row r="72" customFormat="false" ht="27.75" hidden="false" customHeight="true" outlineLevel="0" collapsed="false">
      <c r="B72" s="75" t="s">
        <v>329</v>
      </c>
      <c r="C72" s="75"/>
      <c r="D72" s="75"/>
      <c r="E72" s="75"/>
      <c r="F72" s="75"/>
      <c r="G72" s="75"/>
      <c r="H72" s="75"/>
      <c r="I72" s="75"/>
    </row>
    <row r="73" customFormat="false" ht="27.75" hidden="false" customHeight="true" outlineLevel="0" collapsed="false">
      <c r="B73" s="75" t="s">
        <v>330</v>
      </c>
      <c r="C73" s="75"/>
      <c r="D73" s="75"/>
      <c r="E73" s="75"/>
      <c r="F73" s="75"/>
      <c r="G73" s="75"/>
      <c r="H73" s="75"/>
      <c r="I73" s="75"/>
    </row>
    <row r="74" customFormat="false" ht="27.75" hidden="false" customHeight="true" outlineLevel="0" collapsed="false">
      <c r="B74" s="75" t="s">
        <v>331</v>
      </c>
      <c r="C74" s="75"/>
      <c r="D74" s="75"/>
      <c r="E74" s="75"/>
      <c r="F74" s="75"/>
      <c r="G74" s="75"/>
      <c r="H74" s="75"/>
      <c r="I74" s="75"/>
    </row>
    <row r="75" customFormat="false" ht="27.75" hidden="false" customHeight="true" outlineLevel="0" collapsed="false">
      <c r="B75" s="75" t="s">
        <v>332</v>
      </c>
      <c r="C75" s="75"/>
      <c r="D75" s="75"/>
      <c r="E75" s="75"/>
      <c r="F75" s="75"/>
      <c r="G75" s="75"/>
      <c r="H75" s="75"/>
      <c r="I75" s="75"/>
    </row>
    <row r="76" customFormat="false" ht="27.75" hidden="false" customHeight="true" outlineLevel="0" collapsed="false">
      <c r="B76" s="75" t="s">
        <v>333</v>
      </c>
      <c r="C76" s="75"/>
      <c r="D76" s="75"/>
      <c r="E76" s="75"/>
      <c r="F76" s="75"/>
      <c r="G76" s="75"/>
      <c r="H76" s="75"/>
      <c r="I76" s="75"/>
    </row>
  </sheetData>
  <sheetProtection sheet="true" formatColumns="false" formatRows="false"/>
  <mergeCells count="30">
    <mergeCell ref="B6:I6"/>
    <mergeCell ref="B16:I16"/>
    <mergeCell ref="B20:I20"/>
    <mergeCell ref="B26:I26"/>
    <mergeCell ref="B31:I31"/>
    <mergeCell ref="B42:I42"/>
    <mergeCell ref="B50:I50"/>
    <mergeCell ref="D52:G52"/>
    <mergeCell ref="D53:G53"/>
    <mergeCell ref="D54:G54"/>
    <mergeCell ref="D55:G55"/>
    <mergeCell ref="D56:G56"/>
    <mergeCell ref="D57:G57"/>
    <mergeCell ref="D58:G58"/>
    <mergeCell ref="D59:G59"/>
    <mergeCell ref="D60:G60"/>
    <mergeCell ref="B62:I62"/>
    <mergeCell ref="B63:I63"/>
    <mergeCell ref="B64:I64"/>
    <mergeCell ref="B65:I65"/>
    <mergeCell ref="B66:I66"/>
    <mergeCell ref="B67:I67"/>
    <mergeCell ref="B68:I68"/>
    <mergeCell ref="B69:I69"/>
    <mergeCell ref="B71:I71"/>
    <mergeCell ref="B72:I72"/>
    <mergeCell ref="B73:I73"/>
    <mergeCell ref="B74:I74"/>
    <mergeCell ref="B75:I75"/>
    <mergeCell ref="B76:I7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W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2" style="0" width="4"/>
    <col collapsed="false" customWidth="true" hidden="false" outlineLevel="0" max="3" min="3" style="0" width="48"/>
    <col collapsed="false" customWidth="true" hidden="false" outlineLevel="0" max="4" min="4" style="0" width="22"/>
    <col collapsed="false" customWidth="true" hidden="false" outlineLevel="0" max="23" min="5" style="0" width="13"/>
  </cols>
  <sheetData>
    <row r="1" customFormat="false" ht="19.7" hidden="false" customHeight="false" outlineLevel="0" collapsed="false">
      <c r="B1" s="1" t="s">
        <v>334</v>
      </c>
    </row>
    <row r="2" customFormat="false" ht="15" hidden="false" customHeight="false" outlineLevel="0" collapsed="false">
      <c r="B2" s="2" t="s">
        <v>335</v>
      </c>
    </row>
    <row r="4" customFormat="false" ht="39.75" hidden="false" customHeight="true" outlineLevel="0" collapsed="false">
      <c r="B4" s="7" t="s">
        <v>336</v>
      </c>
      <c r="C4" s="7" t="s">
        <v>337</v>
      </c>
      <c r="D4" s="7" t="s">
        <v>338</v>
      </c>
      <c r="E4" s="7" t="s">
        <v>339</v>
      </c>
      <c r="F4" s="7" t="s">
        <v>340</v>
      </c>
      <c r="G4" s="7" t="s">
        <v>341</v>
      </c>
      <c r="H4" s="7" t="s">
        <v>342</v>
      </c>
      <c r="I4" s="7" t="s">
        <v>343</v>
      </c>
      <c r="J4" s="7" t="s">
        <v>344</v>
      </c>
      <c r="K4" s="7" t="s">
        <v>345</v>
      </c>
      <c r="L4" s="7" t="s">
        <v>346</v>
      </c>
      <c r="M4" s="7" t="s">
        <v>347</v>
      </c>
      <c r="N4" s="7" t="s">
        <v>348</v>
      </c>
      <c r="O4" s="7" t="s">
        <v>349</v>
      </c>
      <c r="P4" s="7" t="s">
        <v>350</v>
      </c>
      <c r="Q4" s="7" t="s">
        <v>351</v>
      </c>
      <c r="R4" s="7" t="s">
        <v>352</v>
      </c>
      <c r="S4" s="7" t="s">
        <v>353</v>
      </c>
      <c r="T4" s="7" t="s">
        <v>354</v>
      </c>
      <c r="U4" s="7" t="s">
        <v>355</v>
      </c>
      <c r="V4" s="7" t="s">
        <v>356</v>
      </c>
      <c r="W4" s="7" t="s">
        <v>357</v>
      </c>
    </row>
    <row r="5" customFormat="false" ht="30" hidden="false" customHeight="true" outlineLevel="0" collapsed="false">
      <c r="B5" s="76" t="n">
        <v>1</v>
      </c>
      <c r="C5" s="9" t="s">
        <v>358</v>
      </c>
      <c r="D5" s="76" t="s">
        <v>253</v>
      </c>
      <c r="E5" s="77" t="n">
        <v>100000</v>
      </c>
      <c r="F5" s="77" t="n">
        <v>20000</v>
      </c>
      <c r="G5" s="77" t="n">
        <v>0</v>
      </c>
      <c r="H5" s="77" t="n">
        <v>0</v>
      </c>
      <c r="I5" s="77" t="n">
        <v>0</v>
      </c>
      <c r="J5" s="77" t="n">
        <v>0</v>
      </c>
      <c r="K5" s="77" t="n">
        <v>0</v>
      </c>
      <c r="L5" s="77" t="n">
        <v>0</v>
      </c>
      <c r="M5" s="78" t="n">
        <v>1</v>
      </c>
      <c r="N5" s="77" t="n">
        <v>0</v>
      </c>
      <c r="O5" s="77" t="n">
        <v>0</v>
      </c>
      <c r="P5" s="79" t="n">
        <v>3000</v>
      </c>
      <c r="Q5" s="79" t="n">
        <v>0</v>
      </c>
      <c r="R5" s="79" t="n">
        <v>1274</v>
      </c>
      <c r="S5" s="79" t="n">
        <v>4274</v>
      </c>
      <c r="T5" s="79" t="n">
        <v>15726</v>
      </c>
      <c r="U5" s="80" t="n">
        <v>0.2137</v>
      </c>
      <c r="V5" s="79" t="n">
        <v>4274</v>
      </c>
      <c r="W5" s="76" t="s">
        <v>359</v>
      </c>
    </row>
    <row r="6" customFormat="false" ht="30" hidden="false" customHeight="true" outlineLevel="0" collapsed="false">
      <c r="B6" s="76" t="n">
        <v>2</v>
      </c>
      <c r="C6" s="9" t="s">
        <v>360</v>
      </c>
      <c r="D6" s="76" t="s">
        <v>17</v>
      </c>
      <c r="E6" s="77" t="n">
        <v>150000</v>
      </c>
      <c r="F6" s="77" t="n">
        <v>20000</v>
      </c>
      <c r="G6" s="77" t="n">
        <v>5000</v>
      </c>
      <c r="H6" s="77" t="n">
        <v>5000</v>
      </c>
      <c r="I6" s="77" t="n">
        <v>10000</v>
      </c>
      <c r="J6" s="77" t="n">
        <v>0</v>
      </c>
      <c r="K6" s="77" t="n">
        <v>0</v>
      </c>
      <c r="L6" s="77" t="n">
        <v>0</v>
      </c>
      <c r="M6" s="78" t="n">
        <v>1</v>
      </c>
      <c r="N6" s="77" t="n">
        <v>0</v>
      </c>
      <c r="O6" s="77" t="n">
        <v>10000</v>
      </c>
      <c r="P6" s="79" t="n">
        <v>8900</v>
      </c>
      <c r="Q6" s="79" t="n">
        <v>0</v>
      </c>
      <c r="R6" s="79" t="n">
        <v>3185</v>
      </c>
      <c r="S6" s="79" t="n">
        <v>12085</v>
      </c>
      <c r="T6" s="79" t="n">
        <v>37915</v>
      </c>
      <c r="U6" s="80" t="n">
        <v>0.2417</v>
      </c>
      <c r="V6" s="79" t="n">
        <v>12085</v>
      </c>
      <c r="W6" s="76" t="s">
        <v>359</v>
      </c>
    </row>
    <row r="7" customFormat="false" ht="30" hidden="false" customHeight="true" outlineLevel="0" collapsed="false">
      <c r="B7" s="76" t="n">
        <v>3</v>
      </c>
      <c r="C7" s="9" t="s">
        <v>361</v>
      </c>
      <c r="D7" s="76" t="s">
        <v>17</v>
      </c>
      <c r="E7" s="77" t="n">
        <v>400000</v>
      </c>
      <c r="F7" s="77" t="n">
        <v>60000</v>
      </c>
      <c r="G7" s="77" t="n">
        <v>0</v>
      </c>
      <c r="H7" s="77" t="n">
        <v>0</v>
      </c>
      <c r="I7" s="77" t="n">
        <v>40000</v>
      </c>
      <c r="J7" s="77" t="n">
        <v>0</v>
      </c>
      <c r="K7" s="77" t="n">
        <v>0</v>
      </c>
      <c r="L7" s="77" t="n">
        <v>0</v>
      </c>
      <c r="M7" s="78" t="n">
        <v>1</v>
      </c>
      <c r="N7" s="77" t="n">
        <v>0</v>
      </c>
      <c r="O7" s="77" t="n">
        <v>100000</v>
      </c>
      <c r="P7" s="79" t="n">
        <v>36516</v>
      </c>
      <c r="Q7" s="79" t="n">
        <v>7600</v>
      </c>
      <c r="R7" s="79" t="n">
        <v>16125.2</v>
      </c>
      <c r="S7" s="79" t="n">
        <v>60241.2</v>
      </c>
      <c r="T7" s="79" t="n">
        <v>139758.8</v>
      </c>
      <c r="U7" s="80" t="n">
        <v>0.301206</v>
      </c>
      <c r="V7" s="79" t="n">
        <v>60241.2</v>
      </c>
      <c r="W7" s="76" t="s">
        <v>359</v>
      </c>
    </row>
    <row r="8" customFormat="false" ht="30" hidden="false" customHeight="true" outlineLevel="0" collapsed="false">
      <c r="B8" s="76" t="n">
        <v>4</v>
      </c>
      <c r="C8" s="9" t="s">
        <v>362</v>
      </c>
      <c r="D8" s="76" t="s">
        <v>253</v>
      </c>
      <c r="E8" s="77" t="n">
        <v>80000</v>
      </c>
      <c r="F8" s="77" t="n">
        <v>0</v>
      </c>
      <c r="G8" s="77" t="n">
        <v>0</v>
      </c>
      <c r="H8" s="77" t="n">
        <v>0</v>
      </c>
      <c r="I8" s="77" t="n">
        <v>5000</v>
      </c>
      <c r="J8" s="77" t="n">
        <v>0</v>
      </c>
      <c r="K8" s="77" t="n">
        <v>15000</v>
      </c>
      <c r="L8" s="77" t="n">
        <v>0</v>
      </c>
      <c r="M8" s="78" t="n">
        <v>1</v>
      </c>
      <c r="N8" s="77" t="n">
        <v>0</v>
      </c>
      <c r="O8" s="77" t="n">
        <v>0</v>
      </c>
      <c r="P8" s="79" t="n">
        <v>4400</v>
      </c>
      <c r="Q8" s="79" t="n">
        <v>0</v>
      </c>
      <c r="R8" s="79" t="n">
        <v>318.5</v>
      </c>
      <c r="S8" s="79" t="n">
        <v>4718.5</v>
      </c>
      <c r="T8" s="79" t="n">
        <v>15281.5</v>
      </c>
      <c r="U8" s="80" t="n">
        <v>0.235925</v>
      </c>
      <c r="V8" s="79" t="n">
        <v>4718.5</v>
      </c>
      <c r="W8" s="76" t="s">
        <v>359</v>
      </c>
    </row>
    <row r="9" customFormat="false" ht="30" hidden="false" customHeight="true" outlineLevel="0" collapsed="false">
      <c r="B9" s="76" t="n">
        <v>5</v>
      </c>
      <c r="C9" s="9" t="s">
        <v>363</v>
      </c>
      <c r="D9" s="76" t="s">
        <v>17</v>
      </c>
      <c r="E9" s="77" t="n">
        <v>120000</v>
      </c>
      <c r="F9" s="77" t="n">
        <v>5000</v>
      </c>
      <c r="G9" s="77" t="n">
        <v>0</v>
      </c>
      <c r="H9" s="77" t="n">
        <v>0</v>
      </c>
      <c r="I9" s="77" t="n">
        <v>0</v>
      </c>
      <c r="J9" s="77" t="n">
        <v>0</v>
      </c>
      <c r="K9" s="77" t="n">
        <v>0</v>
      </c>
      <c r="L9" s="77" t="n">
        <v>25000</v>
      </c>
      <c r="M9" s="78" t="n">
        <v>0.6</v>
      </c>
      <c r="N9" s="77" t="n">
        <v>0</v>
      </c>
      <c r="O9" s="77" t="n">
        <v>0</v>
      </c>
      <c r="P9" s="79" t="n">
        <v>750</v>
      </c>
      <c r="Q9" s="79" t="n">
        <v>0</v>
      </c>
      <c r="R9" s="79" t="n">
        <v>955.5</v>
      </c>
      <c r="S9" s="79" t="n">
        <v>1705.5</v>
      </c>
      <c r="T9" s="79" t="n">
        <v>28294.5</v>
      </c>
      <c r="U9" s="80" t="n">
        <v>0.05685</v>
      </c>
      <c r="V9" s="79" t="n">
        <v>1705.5</v>
      </c>
      <c r="W9" s="76" t="s">
        <v>359</v>
      </c>
    </row>
    <row r="10" customFormat="false" ht="30" hidden="false" customHeight="true" outlineLevel="0" collapsed="false">
      <c r="B10" s="76" t="n">
        <v>6</v>
      </c>
      <c r="C10" s="9" t="s">
        <v>364</v>
      </c>
      <c r="D10" s="76" t="s">
        <v>255</v>
      </c>
      <c r="E10" s="77" t="n">
        <v>90000</v>
      </c>
      <c r="F10" s="77" t="n">
        <v>0</v>
      </c>
      <c r="G10" s="77" t="n">
        <v>0</v>
      </c>
      <c r="H10" s="77" t="n">
        <v>0</v>
      </c>
      <c r="I10" s="77" t="n">
        <v>0</v>
      </c>
      <c r="J10" s="77" t="n">
        <v>0</v>
      </c>
      <c r="K10" s="77" t="n">
        <v>0</v>
      </c>
      <c r="L10" s="77" t="n">
        <v>0</v>
      </c>
      <c r="M10" s="78" t="n">
        <v>1</v>
      </c>
      <c r="N10" s="77" t="n">
        <v>15000</v>
      </c>
      <c r="O10" s="77" t="n">
        <v>30000</v>
      </c>
      <c r="P10" s="79" t="n">
        <v>7800</v>
      </c>
      <c r="Q10" s="79" t="n">
        <v>0</v>
      </c>
      <c r="R10" s="79" t="n">
        <v>2555.12</v>
      </c>
      <c r="S10" s="79" t="n">
        <v>10355.12</v>
      </c>
      <c r="T10" s="79" t="n">
        <v>34644.88</v>
      </c>
      <c r="U10" s="80" t="n">
        <v>0.230113722222222</v>
      </c>
      <c r="V10" s="79" t="n">
        <v>10355.12</v>
      </c>
      <c r="W10" s="76" t="s">
        <v>359</v>
      </c>
    </row>
    <row r="11" customFormat="false" ht="30" hidden="false" customHeight="true" outlineLevel="0" collapsed="false">
      <c r="B11" s="76" t="n">
        <v>7</v>
      </c>
      <c r="C11" s="9" t="s">
        <v>365</v>
      </c>
      <c r="D11" s="76" t="s">
        <v>253</v>
      </c>
      <c r="E11" s="77" t="n">
        <v>100000</v>
      </c>
      <c r="F11" s="77" t="n">
        <v>20000</v>
      </c>
      <c r="G11" s="77" t="n">
        <v>0</v>
      </c>
      <c r="H11" s="77" t="n">
        <v>0</v>
      </c>
      <c r="I11" s="77" t="n">
        <v>10000</v>
      </c>
      <c r="J11" s="77" t="n">
        <v>0</v>
      </c>
      <c r="K11" s="77" t="n">
        <v>0</v>
      </c>
      <c r="L11" s="77" t="n">
        <v>0</v>
      </c>
      <c r="M11" s="78" t="n">
        <v>1</v>
      </c>
      <c r="N11" s="77" t="n">
        <v>0</v>
      </c>
      <c r="O11" s="77" t="n">
        <v>0</v>
      </c>
      <c r="P11" s="79" t="n">
        <v>5286</v>
      </c>
      <c r="Q11" s="79" t="n">
        <v>0</v>
      </c>
      <c r="R11" s="79" t="n">
        <v>1911</v>
      </c>
      <c r="S11" s="79" t="n">
        <v>7197</v>
      </c>
      <c r="T11" s="79" t="n">
        <v>22803</v>
      </c>
      <c r="U11" s="80" t="n">
        <v>0.2399</v>
      </c>
      <c r="V11" s="79" t="n">
        <v>7197</v>
      </c>
      <c r="W11" s="76" t="s">
        <v>359</v>
      </c>
    </row>
    <row r="12" customFormat="false" ht="30" hidden="false" customHeight="true" outlineLevel="0" collapsed="false">
      <c r="B12" s="76" t="n">
        <v>8</v>
      </c>
      <c r="C12" s="9" t="s">
        <v>366</v>
      </c>
      <c r="D12" s="76" t="s">
        <v>254</v>
      </c>
      <c r="E12" s="77" t="n">
        <v>5000</v>
      </c>
      <c r="F12" s="77" t="n">
        <v>0</v>
      </c>
      <c r="G12" s="77" t="n">
        <v>0</v>
      </c>
      <c r="H12" s="77" t="n">
        <v>0</v>
      </c>
      <c r="I12" s="77" t="n">
        <v>0</v>
      </c>
      <c r="J12" s="77" t="n">
        <v>0</v>
      </c>
      <c r="K12" s="77" t="n">
        <v>0</v>
      </c>
      <c r="L12" s="77" t="n">
        <v>0</v>
      </c>
      <c r="M12" s="78" t="n">
        <v>1</v>
      </c>
      <c r="N12" s="77" t="n">
        <v>0</v>
      </c>
      <c r="O12" s="77" t="n">
        <v>20000</v>
      </c>
      <c r="P12" s="79" t="n">
        <v>0</v>
      </c>
      <c r="Q12" s="79" t="n">
        <v>0</v>
      </c>
      <c r="R12" s="79" t="n">
        <v>408.1</v>
      </c>
      <c r="S12" s="79" t="n">
        <v>408.1</v>
      </c>
      <c r="T12" s="79" t="n">
        <v>19591.9</v>
      </c>
      <c r="U12" s="80" t="n">
        <v>0.020405</v>
      </c>
      <c r="V12" s="79" t="n">
        <v>408.1</v>
      </c>
      <c r="W12" s="76" t="s">
        <v>359</v>
      </c>
    </row>
    <row r="13" customFormat="false" ht="30" hidden="false" customHeight="true" outlineLevel="0" collapsed="false">
      <c r="B13" s="76" t="n">
        <v>9</v>
      </c>
      <c r="C13" s="9" t="s">
        <v>367</v>
      </c>
      <c r="D13" s="76" t="s">
        <v>253</v>
      </c>
      <c r="E13" s="77" t="n">
        <v>900000</v>
      </c>
      <c r="F13" s="77" t="n">
        <v>150000</v>
      </c>
      <c r="G13" s="77" t="n">
        <v>0</v>
      </c>
      <c r="H13" s="77" t="n">
        <v>0</v>
      </c>
      <c r="I13" s="77" t="n">
        <v>50000</v>
      </c>
      <c r="J13" s="77" t="n">
        <v>0</v>
      </c>
      <c r="K13" s="77" t="n">
        <v>0</v>
      </c>
      <c r="L13" s="77" t="n">
        <v>0</v>
      </c>
      <c r="M13" s="78" t="n">
        <v>1</v>
      </c>
      <c r="N13" s="77" t="n">
        <v>0</v>
      </c>
      <c r="O13" s="77" t="n">
        <v>200000</v>
      </c>
      <c r="P13" s="79" t="n">
        <v>88500</v>
      </c>
      <c r="Q13" s="79" t="n">
        <v>15200</v>
      </c>
      <c r="R13" s="79" t="n">
        <v>41488.78</v>
      </c>
      <c r="S13" s="79" t="n">
        <v>145188.78</v>
      </c>
      <c r="T13" s="79" t="n">
        <v>254811.22</v>
      </c>
      <c r="U13" s="80" t="n">
        <v>0.36297195</v>
      </c>
      <c r="V13" s="79" t="n">
        <v>145188.78</v>
      </c>
      <c r="W13" s="76" t="s">
        <v>359</v>
      </c>
    </row>
    <row r="15" customFormat="false" ht="30" hidden="false" customHeight="true" outlineLevel="0" collapsed="false">
      <c r="B15" s="75" t="s">
        <v>368</v>
      </c>
      <c r="C15" s="75"/>
      <c r="D15" s="75"/>
      <c r="E15" s="75"/>
      <c r="F15" s="75"/>
      <c r="G15" s="75"/>
      <c r="H15" s="75"/>
      <c r="I15" s="75"/>
      <c r="J15" s="75"/>
      <c r="K15" s="75"/>
      <c r="L15" s="75"/>
      <c r="M15" s="75"/>
      <c r="N15" s="75"/>
      <c r="O15" s="75"/>
      <c r="P15" s="75"/>
      <c r="Q15" s="75"/>
      <c r="R15" s="75"/>
      <c r="S15" s="75"/>
      <c r="T15" s="75"/>
      <c r="U15" s="75"/>
      <c r="V15" s="75"/>
      <c r="W15" s="75"/>
    </row>
    <row r="16" customFormat="false" ht="30" hidden="false" customHeight="true" outlineLevel="0" collapsed="false">
      <c r="B16" s="75" t="s">
        <v>369</v>
      </c>
      <c r="C16" s="75"/>
      <c r="D16" s="75"/>
      <c r="E16" s="75"/>
      <c r="F16" s="75"/>
      <c r="G16" s="75"/>
      <c r="H16" s="75"/>
      <c r="I16" s="75"/>
      <c r="J16" s="75"/>
      <c r="K16" s="75"/>
      <c r="L16" s="75"/>
      <c r="M16" s="75"/>
      <c r="N16" s="75"/>
      <c r="O16" s="75"/>
      <c r="P16" s="75"/>
      <c r="Q16" s="75"/>
      <c r="R16" s="75"/>
      <c r="S16" s="75"/>
      <c r="T16" s="75"/>
      <c r="U16" s="75"/>
      <c r="V16" s="75"/>
      <c r="W16" s="75"/>
    </row>
    <row r="17" customFormat="false" ht="30" hidden="false" customHeight="true" outlineLevel="0" collapsed="false">
      <c r="B17" s="75" t="s">
        <v>370</v>
      </c>
      <c r="C17" s="75"/>
      <c r="D17" s="75"/>
      <c r="E17" s="75"/>
      <c r="F17" s="75"/>
      <c r="G17" s="75"/>
      <c r="H17" s="75"/>
      <c r="I17" s="75"/>
      <c r="J17" s="75"/>
      <c r="K17" s="75"/>
      <c r="L17" s="75"/>
      <c r="M17" s="75"/>
      <c r="N17" s="75"/>
      <c r="O17" s="75"/>
      <c r="P17" s="75"/>
      <c r="Q17" s="75"/>
      <c r="R17" s="75"/>
      <c r="S17" s="75"/>
      <c r="T17" s="75"/>
      <c r="U17" s="75"/>
      <c r="V17" s="75"/>
      <c r="W17" s="75"/>
    </row>
  </sheetData>
  <sheetProtection sheet="true"/>
  <mergeCells count="3">
    <mergeCell ref="B15:W15"/>
    <mergeCell ref="B16:W16"/>
    <mergeCell ref="B17:W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2026-09-22T18:21:57Z</dcterms:created>
  <dc:creator>openpyxl</dc:creator>
  <dc:description/>
  <dc:language>en-US</dc:language>
  <cp:lastModifiedBy/>
  <dcterms:modified xsi:type="dcterms:W3CDTF">2026-09-22T18:21:57Z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