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x Estimator" sheetId="1" state="visible" r:id="rId1"/>
    <sheet name="Portfolio Tax Estimator" sheetId="2" state="visible" r:id="rId2"/>
    <sheet name="Tax Information" sheetId="3" state="visible" r:id="rId3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;($#,##0)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.5"/>
    </font>
    <font>
      <name val="Arial"/>
      <b val="1"/>
      <color rgb="00FFFFFF"/>
      <sz val="11"/>
    </font>
    <font>
      <name val="Arial"/>
      <b val="1"/>
      <color rgb="00595959"/>
      <sz val="9"/>
    </font>
    <font>
      <name val="Arial"/>
      <color rgb="000000FF"/>
      <sz val="9"/>
    </font>
    <font>
      <name val="Arial"/>
      <color rgb="00595959"/>
      <sz val="8"/>
    </font>
    <font>
      <name val="Arial"/>
      <color rgb="00000000"/>
      <sz val="9"/>
    </font>
    <font>
      <name val="Arial"/>
      <color rgb="000000FF"/>
      <sz val="10"/>
    </font>
    <font>
      <name val="Arial"/>
      <b val="1"/>
      <color rgb="00C00000"/>
      <sz val="11"/>
    </font>
    <font>
      <name val="Arial"/>
      <color rgb="00000000"/>
      <sz val="9.5"/>
    </font>
    <font>
      <name val="Arial"/>
      <b val="1"/>
      <color rgb="00FFFFFF"/>
      <sz val="18"/>
    </font>
    <font>
      <name val="Arial"/>
      <i val="1"/>
      <color rgb="00C00000"/>
      <sz val="9.5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b val="1"/>
      <color rgb="001F3864"/>
      <sz val="11"/>
    </font>
    <font>
      <name val="Arial"/>
      <i val="1"/>
      <color rgb="00595959"/>
      <sz val="8"/>
    </font>
    <font>
      <name val="Arial"/>
      <b val="1"/>
      <color rgb="00FFFFFF"/>
      <sz val="9"/>
    </font>
    <font>
      <name val="Arial"/>
      <i val="1"/>
      <color rgb="00595959"/>
      <sz val="9"/>
    </font>
    <font>
      <name val="Arial"/>
      <b val="1"/>
      <color rgb="00595959"/>
      <sz val="10"/>
    </font>
    <font>
      <name val="Arial"/>
      <color rgb="00000000"/>
      <sz val="8"/>
    </font>
    <font>
      <name val="Arial"/>
      <b val="1"/>
      <color rgb="00595959"/>
      <sz val="8"/>
    </font>
    <font>
      <name val="Arial"/>
      <color rgb="00595959"/>
      <sz val="9"/>
    </font>
    <font>
      <name val="Arial"/>
      <b val="1"/>
      <color rgb="00000000"/>
      <sz val="9.5"/>
    </font>
    <font>
      <name val="Arial"/>
      <b val="1"/>
      <color rgb="001F3864"/>
      <sz val="16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5395"/>
        <bgColor rgb="002E5395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D9E2F3"/>
        <bgColor rgb="00D9E2F3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5" borderId="0" pivotButton="0" quotePrefix="0" xfId="0"/>
    <xf numFmtId="0" fontId="6" fillId="0" borderId="0" pivotButton="0" quotePrefix="0" xfId="0"/>
    <xf numFmtId="164" fontId="5" fillId="5" borderId="0" pivotButton="0" quotePrefix="0" xfId="0"/>
    <xf numFmtId="165" fontId="5" fillId="5" borderId="0" pivotButton="0" quotePrefix="0" xfId="0"/>
    <xf numFmtId="165" fontId="7" fillId="0" borderId="0" pivotButton="0" quotePrefix="0" xfId="0"/>
    <xf numFmtId="0" fontId="8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/>
    </xf>
    <xf numFmtId="165" fontId="8" fillId="5" borderId="1" applyAlignment="1" pivotButton="0" quotePrefix="0" xfId="0">
      <alignment horizontal="right" vertical="center"/>
    </xf>
    <xf numFmtId="10" fontId="8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wrapText="1"/>
    </xf>
    <xf numFmtId="0" fontId="9" fillId="5" borderId="0" applyAlignment="1" pivotButton="0" quotePrefix="0" xfId="0">
      <alignment horizontal="left" vertical="top" wrapText="1"/>
    </xf>
    <xf numFmtId="0" fontId="0" fillId="5" borderId="0" pivotButton="0" quotePrefix="0" xfId="0"/>
    <xf numFmtId="0" fontId="10" fillId="0" borderId="0" applyAlignment="1" pivotButton="0" quotePrefix="0" xfId="0">
      <alignment vertical="top" wrapText="1"/>
    </xf>
    <xf numFmtId="0" fontId="11" fillId="2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indent="1"/>
    </xf>
    <xf numFmtId="0" fontId="15" fillId="3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vertical="center"/>
    </xf>
    <xf numFmtId="49" fontId="16" fillId="6" borderId="1" applyAlignment="1" pivotButton="0" quotePrefix="0" xfId="0">
      <alignment horizontal="right" vertical="center"/>
    </xf>
    <xf numFmtId="0" fontId="0" fillId="0" borderId="4" pivotButton="0" quotePrefix="0" xfId="0"/>
    <xf numFmtId="164" fontId="16" fillId="6" borderId="1" applyAlignment="1" pivotButton="0" quotePrefix="0" xfId="0">
      <alignment horizontal="right" vertical="center"/>
    </xf>
    <xf numFmtId="0" fontId="17" fillId="0" borderId="0" pivotButton="0" quotePrefix="0" xfId="0"/>
    <xf numFmtId="0" fontId="18" fillId="3" borderId="0" applyAlignment="1" pivotButton="0" quotePrefix="0" xfId="0">
      <alignment horizontal="center" vertical="center" wrapText="1"/>
    </xf>
    <xf numFmtId="165" fontId="25" fillId="6" borderId="0" applyAlignment="1" pivotButton="0" quotePrefix="0" xfId="0">
      <alignment horizontal="center" vertical="center"/>
    </xf>
    <xf numFmtId="164" fontId="25" fillId="6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65" fontId="16" fillId="6" borderId="1" applyAlignment="1" pivotButton="0" quotePrefix="0" xfId="0">
      <alignment horizontal="right" vertical="center"/>
    </xf>
    <xf numFmtId="164" fontId="14" fillId="0" borderId="0" applyAlignment="1" pivotButton="0" quotePrefix="0" xfId="0">
      <alignment horizontal="right" vertical="center"/>
    </xf>
    <xf numFmtId="0" fontId="21" fillId="0" borderId="0" pivotButton="0" quotePrefix="0" xfId="0"/>
    <xf numFmtId="165" fontId="0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10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right"/>
    </xf>
    <xf numFmtId="10" fontId="10" fillId="0" borderId="0" applyAlignment="1" pivotButton="0" quotePrefix="0" xfId="0">
      <alignment horizontal="right"/>
    </xf>
    <xf numFmtId="0" fontId="24" fillId="0" borderId="0" applyAlignment="1" pivotButton="0" quotePrefix="0" xfId="0">
      <alignment horizontal="left" vertical="center"/>
    </xf>
    <xf numFmtId="0" fontId="22" fillId="0" borderId="0" pivotButton="0" quotePrefix="0" xfId="0"/>
    <xf numFmtId="10" fontId="23" fillId="0" borderId="0" pivotButton="0" quotePrefix="0" xfId="0"/>
    <xf numFmtId="165" fontId="23" fillId="0" borderId="0" pivotButton="0" quotePrefix="0" xfId="0"/>
    <xf numFmtId="164" fontId="1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Where Your Taxes Go</a:t>
            </a:r>
          </a:p>
        </rich>
      </tx>
    </title>
    <plotArea>
      <pieChart>
        <varyColors val="1"/>
        <ser>
          <idx val="0"/>
          <order val="0"/>
          <tx>
            <strRef>
              <f>'Tax Estimator'!G58</f>
            </strRef>
          </tx>
          <spPr>
            <a:ln>
              <a:prstDash val="solid"/>
            </a:ln>
          </spPr>
          <cat>
            <numRef>
              <f>'Tax Estimator'!$F$59:$F$61</f>
            </numRef>
          </cat>
          <val>
            <numRef>
              <f>'Tax Estimator'!$G$59:$G$61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Tax by Income Type</a:t>
            </a:r>
          </a:p>
        </rich>
      </tx>
    </title>
    <plotArea>
      <pieChart>
        <varyColors val="1"/>
        <ser>
          <idx val="0"/>
          <order val="0"/>
          <tx>
            <strRef>
              <f>'Portfolio Tax Estimator'!G44</f>
            </strRef>
          </tx>
          <spPr>
            <a:ln>
              <a:prstDash val="solid"/>
            </a:ln>
          </spPr>
          <cat>
            <numRef>
              <f>'Portfolio Tax Estimator'!$F$45:$F$50</f>
            </numRef>
          </cat>
          <val>
            <numRef>
              <f>'Portfolio Tax Estimator'!$G$45:$G$50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57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16" customWidth="1" min="3" max="3"/>
    <col width="16" customWidth="1" min="4" max="4"/>
    <col width="3" customWidth="1" min="5" max="5"/>
    <col width="22" customWidth="1" min="6" max="6"/>
    <col width="16" customWidth="1" min="7" max="7"/>
    <col width="4" customWidth="1" min="8" max="8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 ht="28" customHeight="1">
      <c r="A1" s="19" t="inlineStr">
        <is>
          <t>TAX ESTIMATOR</t>
        </is>
      </c>
    </row>
    <row r="2">
      <c r="A2" s="20" t="inlineStr">
        <is>
          <t>Estimate your federal, state, and local income tax. For planning purposes only - not tax, legal, or accounting advice.</t>
        </is>
      </c>
    </row>
    <row r="4" ht="18" customHeight="1">
      <c r="A4" s="3" t="inlineStr">
        <is>
          <t>STEP 1 - YOUR INFORMATION</t>
        </is>
      </c>
    </row>
    <row r="5">
      <c r="B5" s="21" t="inlineStr">
        <is>
          <t>Filing Status</t>
        </is>
      </c>
      <c r="C5" s="12" t="inlineStr">
        <is>
          <t>Married Filing Jointly</t>
        </is>
      </c>
    </row>
    <row r="6">
      <c r="B6" s="21" t="inlineStr">
        <is>
          <t>Tax Year</t>
        </is>
      </c>
      <c r="C6" s="12" t="n">
        <v>2025</v>
      </c>
    </row>
    <row r="7">
      <c r="B7" s="21" t="inlineStr">
        <is>
          <t>State of Residence</t>
        </is>
      </c>
      <c r="C7" s="12" t="inlineStr">
        <is>
          <t>New Jersey</t>
        </is>
      </c>
    </row>
    <row r="8">
      <c r="B8" s="22" t="inlineStr">
        <is>
          <t>State Tax Rate if 'Other (Manual Entry)' Selected</t>
        </is>
      </c>
      <c r="C8" s="14" t="n">
        <v>0.05</v>
      </c>
    </row>
    <row r="9">
      <c r="B9" s="21" t="inlineStr">
        <is>
          <t>Locality / City (if applicable)</t>
        </is>
      </c>
      <c r="C9" s="12" t="inlineStr">
        <is>
          <t>None / Not Applicable</t>
        </is>
      </c>
    </row>
    <row r="10">
      <c r="B10" s="22" t="inlineStr">
        <is>
          <t>Local Tax Rate if 'Other (Manual Entry)' Selected</t>
        </is>
      </c>
      <c r="C10" s="14" t="n">
        <v>0</v>
      </c>
    </row>
    <row r="12">
      <c r="B12" s="23" t="inlineStr">
        <is>
          <t>YOUR STATE TAX RATE</t>
        </is>
      </c>
    </row>
    <row r="13">
      <c r="B13" s="24" t="inlineStr">
        <is>
          <t>This State's Tax Rate Range</t>
        </is>
      </c>
      <c r="C13" s="25">
        <f>C147</f>
        <v/>
      </c>
      <c r="D13" s="26" t="n"/>
    </row>
    <row r="14">
      <c r="B14" s="24" t="inlineStr">
        <is>
          <t>Your Estimated Marginal State Rate</t>
        </is>
      </c>
      <c r="C14" s="27">
        <f>C144</f>
        <v/>
      </c>
      <c r="D14" s="26" t="n"/>
    </row>
    <row r="15">
      <c r="B15" s="24" t="inlineStr">
        <is>
          <t>Your Estimated Effective State Rate</t>
        </is>
      </c>
      <c r="C15" s="27">
        <f>C145</f>
        <v/>
      </c>
      <c r="D15" s="26" t="n"/>
    </row>
    <row r="16">
      <c r="B16" s="28" t="inlineStr">
        <is>
          <t>(marginal/effective update automatically once you enter your income below)</t>
        </is>
      </c>
    </row>
    <row r="18" ht="18" customHeight="1">
      <c r="A18" s="3" t="inlineStr">
        <is>
          <t>STEP 2 - INCOME</t>
        </is>
      </c>
    </row>
    <row r="19">
      <c r="B19" s="5" t="inlineStr"/>
      <c r="C19" s="5" t="inlineStr">
        <is>
          <t>You</t>
        </is>
      </c>
      <c r="D19" s="5" t="inlineStr">
        <is>
          <t>Spouse</t>
        </is>
      </c>
    </row>
    <row r="20">
      <c r="B20" s="24" t="inlineStr">
        <is>
          <t>Salary / W-2 Income</t>
        </is>
      </c>
      <c r="C20" s="13" t="n">
        <v>165000</v>
      </c>
      <c r="D20" s="13" t="n">
        <v>98000</v>
      </c>
    </row>
    <row r="21">
      <c r="B21" s="24" t="inlineStr">
        <is>
          <t>Bonus</t>
        </is>
      </c>
      <c r="C21" s="13" t="n">
        <v>20000</v>
      </c>
      <c r="D21" s="13" t="n">
        <v>0</v>
      </c>
    </row>
    <row r="22">
      <c r="B22" s="24" t="inlineStr">
        <is>
          <t>Self-Employment / Other Earned Income</t>
        </is>
      </c>
      <c r="C22" s="13" t="n">
        <v>0</v>
      </c>
      <c r="D22" s="13" t="n">
        <v>0</v>
      </c>
    </row>
    <row r="23">
      <c r="B23" s="24" t="inlineStr">
        <is>
          <t>Interest</t>
        </is>
      </c>
      <c r="C23" s="13" t="n">
        <v>3000</v>
      </c>
    </row>
    <row r="24">
      <c r="B24" s="24" t="inlineStr">
        <is>
          <t>Qualified Dividends</t>
        </is>
      </c>
      <c r="C24" s="13" t="n">
        <v>8000</v>
      </c>
    </row>
    <row r="25">
      <c r="B25" s="24" t="inlineStr">
        <is>
          <t>Ordinary Dividends</t>
        </is>
      </c>
      <c r="C25" s="13" t="n">
        <v>2000</v>
      </c>
    </row>
    <row r="26">
      <c r="B26" s="24" t="inlineStr">
        <is>
          <t>Short-Term Capital Gains</t>
        </is>
      </c>
      <c r="C26" s="13" t="n">
        <v>1500</v>
      </c>
    </row>
    <row r="27">
      <c r="B27" s="24" t="inlineStr">
        <is>
          <t>Long-Term Capital Gains</t>
        </is>
      </c>
      <c r="C27" s="13" t="n">
        <v>12000</v>
      </c>
    </row>
    <row r="28">
      <c r="B28" s="24" t="inlineStr">
        <is>
          <t>Capital Losses (enter as positive)</t>
        </is>
      </c>
      <c r="C28" s="13" t="n">
        <v>0</v>
      </c>
    </row>
    <row r="29">
      <c r="B29" s="24" t="inlineStr">
        <is>
          <t>Other Taxable Income</t>
        </is>
      </c>
      <c r="C29" s="13" t="n">
        <v>0</v>
      </c>
    </row>
    <row r="31" ht="18" customHeight="1">
      <c r="A31" s="3" t="inlineStr">
        <is>
          <t>PRE-TAX CONTRIBUTIONS</t>
        </is>
      </c>
    </row>
    <row r="32">
      <c r="B32" s="5" t="inlineStr"/>
      <c r="C32" s="5" t="inlineStr">
        <is>
          <t>You</t>
        </is>
      </c>
      <c r="D32" s="5" t="inlineStr">
        <is>
          <t>Spouse</t>
        </is>
      </c>
    </row>
    <row r="33">
      <c r="B33" s="24" t="inlineStr">
        <is>
          <t>401(k) / 403(b)</t>
        </is>
      </c>
      <c r="C33" s="13" t="n">
        <v>15000</v>
      </c>
      <c r="D33" s="13" t="n">
        <v>9000</v>
      </c>
    </row>
    <row r="34">
      <c r="B34" s="24" t="inlineStr">
        <is>
          <t>Traditional IRA</t>
        </is>
      </c>
      <c r="C34" s="13" t="n">
        <v>0</v>
      </c>
      <c r="D34" s="13" t="n">
        <v>0</v>
      </c>
    </row>
    <row r="35">
      <c r="B35" s="24" t="inlineStr">
        <is>
          <t>HSA</t>
        </is>
      </c>
      <c r="C35" s="13" t="n">
        <v>4300</v>
      </c>
      <c r="D35" s="13" t="n">
        <v>0</v>
      </c>
    </row>
    <row r="36">
      <c r="B36" s="24" t="inlineStr">
        <is>
          <t>Other Pre-Tax Contributions</t>
        </is>
      </c>
      <c r="C36" s="13" t="n">
        <v>0</v>
      </c>
      <c r="D36" s="13" t="n">
        <v>0</v>
      </c>
    </row>
    <row r="38" ht="18" customHeight="1">
      <c r="A38" s="3" t="inlineStr">
        <is>
          <t>DEDUCTIONS</t>
        </is>
      </c>
    </row>
    <row r="39">
      <c r="B39" s="21" t="inlineStr">
        <is>
          <t>Deduction Method</t>
        </is>
      </c>
      <c r="C39" s="12" t="inlineStr">
        <is>
          <t>Auto (Larger of Standard or Itemized)</t>
        </is>
      </c>
    </row>
    <row r="40">
      <c r="B40" s="24" t="inlineStr">
        <is>
          <t>Mortgage Interest</t>
        </is>
      </c>
      <c r="C40" s="13" t="n">
        <v>9500</v>
      </c>
    </row>
    <row r="41">
      <c r="B41" s="24" t="inlineStr">
        <is>
          <t>State &amp; Local Taxes Paid</t>
        </is>
      </c>
      <c r="C41" s="13" t="n">
        <v>16000</v>
      </c>
    </row>
    <row r="42">
      <c r="B42" s="24" t="inlineStr">
        <is>
          <t>Charitable Contributions</t>
        </is>
      </c>
      <c r="C42" s="13" t="n">
        <v>6000</v>
      </c>
    </row>
    <row r="43">
      <c r="B43" s="24" t="inlineStr">
        <is>
          <t>Other Major Deductions</t>
        </is>
      </c>
      <c r="C43" s="13" t="n">
        <v>0</v>
      </c>
    </row>
    <row r="45" ht="18" customHeight="1">
      <c r="A45" s="3" t="inlineStr">
        <is>
          <t>STEP 3 - YOUR ESTIMATED TAX</t>
        </is>
      </c>
    </row>
    <row r="46" ht="30" customHeight="1">
      <c r="B46" s="29" t="inlineStr">
        <is>
          <t>Estimated Total Tax</t>
        </is>
      </c>
      <c r="C46" s="29" t="inlineStr">
        <is>
          <t>Effective Tax Rate</t>
        </is>
      </c>
      <c r="D46" s="29" t="inlineStr">
        <is>
          <t>Marginal Federal Rate</t>
        </is>
      </c>
      <c r="E46" s="29" t="inlineStr">
        <is>
          <t>Estimated After-Tax Income</t>
        </is>
      </c>
    </row>
    <row r="47" ht="30" customHeight="1">
      <c r="B47" s="30">
        <f>C141</f>
        <v/>
      </c>
      <c r="C47" s="31">
        <f>C142</f>
        <v/>
      </c>
      <c r="D47" s="31">
        <f>C143</f>
        <v/>
      </c>
      <c r="E47" s="30">
        <f>C146</f>
        <v/>
      </c>
    </row>
    <row r="49" ht="18" customHeight="1">
      <c r="B49" s="3" t="inlineStr">
        <is>
          <t>Tax Breakdown</t>
        </is>
      </c>
    </row>
    <row r="50">
      <c r="B50" s="24" t="inlineStr">
        <is>
          <t>Estimated Federal Tax</t>
        </is>
      </c>
      <c r="C50" s="32">
        <f>C120+C121</f>
        <v/>
      </c>
    </row>
    <row r="51">
      <c r="B51" s="24" t="inlineStr">
        <is>
          <t>Estimated State Tax</t>
        </is>
      </c>
      <c r="C51" s="32">
        <f>C136</f>
        <v/>
      </c>
    </row>
    <row r="52">
      <c r="B52" s="24" t="inlineStr">
        <is>
          <t>Estimated Local Tax</t>
        </is>
      </c>
      <c r="C52" s="32">
        <f>C140</f>
        <v/>
      </c>
    </row>
    <row r="53">
      <c r="B53" s="21" t="inlineStr">
        <is>
          <t>Estimated Total Tax</t>
        </is>
      </c>
      <c r="C53" s="33">
        <f>C141</f>
        <v/>
      </c>
    </row>
    <row r="54">
      <c r="B54" s="24" t="inlineStr">
        <is>
          <t>Effective Tax Rate</t>
        </is>
      </c>
      <c r="C54" s="34">
        <f>C142</f>
        <v/>
      </c>
    </row>
    <row r="55">
      <c r="B55" s="24" t="inlineStr">
        <is>
          <t>Marginal Federal Tax Rate</t>
        </is>
      </c>
      <c r="C55" s="34">
        <f>C143</f>
        <v/>
      </c>
    </row>
    <row r="56">
      <c r="B56" s="21" t="inlineStr">
        <is>
          <t>Estimated After-Tax Income</t>
        </is>
      </c>
      <c r="C56" s="33">
        <f>C146</f>
        <v/>
      </c>
    </row>
    <row r="58">
      <c r="F58" s="7" t="inlineStr">
        <is>
          <t>Tax Component</t>
        </is>
      </c>
      <c r="G58" s="7" t="inlineStr">
        <is>
          <t>Amount</t>
        </is>
      </c>
    </row>
    <row r="59">
      <c r="F59" s="35" t="inlineStr">
        <is>
          <t>Federal Tax</t>
        </is>
      </c>
      <c r="G59" s="36">
        <f>C120+C121+C125+C132</f>
        <v/>
      </c>
    </row>
    <row r="60">
      <c r="F60" s="35" t="inlineStr">
        <is>
          <t>State Tax</t>
        </is>
      </c>
      <c r="G60" s="36">
        <f>C136</f>
        <v/>
      </c>
    </row>
    <row r="61">
      <c r="F61" s="35" t="inlineStr">
        <is>
          <t>Local Tax</t>
        </is>
      </c>
      <c r="G61" s="36">
        <f>C140</f>
        <v/>
      </c>
    </row>
    <row r="79">
      <c r="B79" s="37" t="inlineStr">
        <is>
          <t>Full calculation detail is available below for your advisor. Click the [+] in the row-number margin to expand.</t>
        </is>
      </c>
    </row>
    <row r="81" hidden="1" outlineLevel="1" collapsed="1">
      <c r="A81" s="38" t="inlineStr">
        <is>
          <t>CALCULATION DETAIL (grouped - click + to expand)</t>
        </is>
      </c>
    </row>
    <row r="82" hidden="1" outlineLevel="1"/>
    <row r="83" hidden="1" outlineLevel="1">
      <c r="B83" s="39" t="inlineStr">
        <is>
          <t>FICA Wages - You (Salary+Bonus, less HSA)</t>
        </is>
      </c>
      <c r="C83" s="40">
        <f>(C20+C21)-C35</f>
        <v/>
      </c>
      <c r="K83" s="7" t="inlineStr">
        <is>
          <t>Filing Status</t>
        </is>
      </c>
      <c r="L83" s="35">
        <f>C5</f>
        <v/>
      </c>
    </row>
    <row r="84" hidden="1" outlineLevel="1">
      <c r="B84" s="39" t="inlineStr">
        <is>
          <t>FICA Wages - Spouse (Salary+Bonus, less HSA)</t>
        </is>
      </c>
      <c r="C84" s="40">
        <f>(D20+D21)-D35</f>
        <v/>
      </c>
      <c r="K84" s="7" t="inlineStr">
        <is>
          <t>Tax Year</t>
        </is>
      </c>
      <c r="L84" s="35">
        <f>C6</f>
        <v/>
      </c>
    </row>
    <row r="85" hidden="1" outlineLevel="1">
      <c r="B85" s="39" t="inlineStr">
        <is>
          <t>SS Wage Base</t>
        </is>
      </c>
      <c r="C85" s="40">
        <f>INDEX('Tax Information'!$B$66:$B$67,L91)</f>
        <v/>
      </c>
      <c r="K85" s="7" t="inlineStr">
        <is>
          <t>Federal Key</t>
        </is>
      </c>
      <c r="L85" s="35">
        <f>L84&amp;"|"&amp;L83</f>
        <v/>
      </c>
    </row>
    <row r="86" hidden="1" outlineLevel="1">
      <c r="B86" s="39" t="inlineStr">
        <is>
          <t>SE Net Earnings Factor</t>
        </is>
      </c>
      <c r="C86" s="41">
        <f>INDEX('Tax Information'!$G$66:$G$67,L91)</f>
        <v/>
      </c>
      <c r="K86" s="7" t="inlineStr">
        <is>
          <t>Fed Bracket Row#</t>
        </is>
      </c>
      <c r="L86" s="35">
        <f>MATCH(L85,'Tax Information'!$C$6:$C$15,0)</f>
        <v/>
      </c>
    </row>
    <row r="87" hidden="1" outlineLevel="1">
      <c r="B87" s="39" t="inlineStr">
        <is>
          <t>Net SE Earnings - You</t>
        </is>
      </c>
      <c r="C87" s="40">
        <f>C22*C86</f>
        <v/>
      </c>
      <c r="K87" s="7" t="inlineStr">
        <is>
          <t>LTCG Bracket Row#</t>
        </is>
      </c>
      <c r="L87" s="35">
        <f>MATCH(L85,'Tax Information'!$C$19:$C$28,0)</f>
        <v/>
      </c>
    </row>
    <row r="88" hidden="1" outlineLevel="1">
      <c r="B88" s="39" t="inlineStr">
        <is>
          <t>Net SE Earnings - Spouse</t>
        </is>
      </c>
      <c r="C88" s="40">
        <f>D22*C86</f>
        <v/>
      </c>
      <c r="K88" s="7" t="inlineStr">
        <is>
          <t>StdDed Row#</t>
        </is>
      </c>
      <c r="L88" s="35">
        <f>MATCH(L85,'Tax Information'!$C$32:$C$41,0)</f>
        <v/>
      </c>
    </row>
    <row r="89" hidden="1" outlineLevel="1">
      <c r="B89" s="39" t="inlineStr">
        <is>
          <t>SS Rate (Self-Employed)</t>
        </is>
      </c>
      <c r="C89" s="41">
        <f>INDEX('Tax Information'!$D$66:$D$67,L91)</f>
        <v/>
      </c>
      <c r="K89" s="7" t="inlineStr">
        <is>
          <t>SALT Row#</t>
        </is>
      </c>
      <c r="L89" s="35">
        <f>MATCH(L85,'Tax Information'!$C$53:$C$62,0)</f>
        <v/>
      </c>
    </row>
    <row r="90" hidden="1" outlineLevel="1">
      <c r="B90" s="39" t="inlineStr">
        <is>
          <t>Medicare Rate (Self-Employed)</t>
        </is>
      </c>
      <c r="C90" s="41">
        <f>INDEX('Tax Information'!$F$66:$F$67,L91)</f>
        <v/>
      </c>
      <c r="K90" s="7" t="inlineStr">
        <is>
          <t>Status Row# (NIIT/AddlMed/CapLoss)</t>
        </is>
      </c>
      <c r="L90" s="35">
        <f>MATCH(L83,'Tax Information'!$A$45:$A$49,0)</f>
        <v/>
      </c>
    </row>
    <row r="91" hidden="1" outlineLevel="1">
      <c r="B91" s="39" t="inlineStr">
        <is>
          <t>SS-Taxable SE Earnings - You</t>
        </is>
      </c>
      <c r="C91" s="40">
        <f>MAX(0,MIN(C87,C85-C83))</f>
        <v/>
      </c>
      <c r="K91" s="7" t="inlineStr">
        <is>
          <t>Year Row# (Payroll)</t>
        </is>
      </c>
      <c r="L91" s="35">
        <f>MATCH(L84,'Tax Information'!$A$66:$A$67,0)</f>
        <v/>
      </c>
    </row>
    <row r="92" hidden="1" outlineLevel="1">
      <c r="B92" s="39" t="inlineStr">
        <is>
          <t>SS-Taxable SE Earnings - Spouse</t>
        </is>
      </c>
      <c r="C92" s="40">
        <f>MAX(0,MIN(C88,C85-C84))</f>
        <v/>
      </c>
      <c r="K92" s="7" t="inlineStr">
        <is>
          <t>State Name</t>
        </is>
      </c>
      <c r="L92" s="35">
        <f>C7</f>
        <v/>
      </c>
    </row>
    <row r="93" hidden="1" outlineLevel="1">
      <c r="B93" s="39" t="inlineStr">
        <is>
          <t>Self-Employment Tax - You</t>
        </is>
      </c>
      <c r="C93" s="40">
        <f>(C91*C89)+(C87*C90)</f>
        <v/>
      </c>
      <c r="K93" s="7" t="inlineStr">
        <is>
          <t>State Code</t>
        </is>
      </c>
      <c r="L93" s="35">
        <f>INDEX('Tax Information'!$A$71:$A$102,MATCH(L92,'Tax Information'!$B$71:$B$102,0))</f>
        <v/>
      </c>
    </row>
    <row r="94" hidden="1" outlineLevel="1">
      <c r="B94" s="39" t="inlineStr">
        <is>
          <t>Self-Employment Tax - Spouse</t>
        </is>
      </c>
      <c r="C94" s="40">
        <f>(C92*C89)+(C88*C90)</f>
        <v/>
      </c>
      <c r="K94" s="7" t="inlineStr">
        <is>
          <t>State Category</t>
        </is>
      </c>
      <c r="L94" s="35">
        <f>IF(OR(L83="Married Filing Jointly",L83="Qualifying Surviving Spouse"),"MFJ","Single")</f>
        <v/>
      </c>
    </row>
    <row r="95" hidden="1" outlineLevel="1">
      <c r="B95" s="42" t="inlineStr">
        <is>
          <t>Total Self-Employment Tax</t>
        </is>
      </c>
      <c r="C95" s="40">
        <f>(C93+C94)</f>
        <v/>
      </c>
      <c r="K95" s="7" t="inlineStr">
        <is>
          <t>State Key</t>
        </is>
      </c>
      <c r="L95" s="35">
        <f>L93&amp;"|"&amp;L94</f>
        <v/>
      </c>
    </row>
    <row r="96" hidden="1" outlineLevel="1">
      <c r="B96" s="39" t="inlineStr">
        <is>
          <t>Deductible Half of SE Tax</t>
        </is>
      </c>
      <c r="C96" s="40">
        <f>C95/2</f>
        <v/>
      </c>
      <c r="K96" s="7" t="inlineStr">
        <is>
          <t>State Bracket Row#</t>
        </is>
      </c>
      <c r="L96" s="35">
        <f>MATCH(L95,'Tax Information'!$C$106:$C$169,0)</f>
        <v/>
      </c>
    </row>
    <row r="97" hidden="1" outlineLevel="1">
      <c r="B97" s="39" t="inlineStr">
        <is>
          <t>Capital Loss Limit vs. Ordinary Income</t>
        </is>
      </c>
      <c r="C97" s="40">
        <f>INDEX('Tax Information'!$D$45:$D$49,L90)</f>
        <v/>
      </c>
      <c r="K97" s="7" t="inlineStr">
        <is>
          <t>State Master Row#</t>
        </is>
      </c>
      <c r="L97" s="35">
        <f>MATCH(L93,'Tax Information'!$A$71:$A$102,0)</f>
        <v/>
      </c>
    </row>
    <row r="98" hidden="1" outlineLevel="1">
      <c r="B98" s="39" t="inlineStr">
        <is>
          <t>Loss Applied to Short-Term Gain</t>
        </is>
      </c>
      <c r="C98" s="40">
        <f>MIN(C28,MAX(0,C26))</f>
        <v/>
      </c>
      <c r="K98" s="7" t="inlineStr">
        <is>
          <t>Locality Name</t>
        </is>
      </c>
      <c r="L98" s="35">
        <f>C9</f>
        <v/>
      </c>
    </row>
    <row r="99" hidden="1" outlineLevel="1">
      <c r="B99" s="39" t="inlineStr">
        <is>
          <t>Loss Applied to Long-Term Gain</t>
        </is>
      </c>
      <c r="C99" s="40">
        <f>C28-C98</f>
        <v/>
      </c>
      <c r="K99" s="7" t="inlineStr">
        <is>
          <t>Locality Row#</t>
        </is>
      </c>
      <c r="L99" s="35">
        <f>MATCH(L98,'Tax Information'!$B$173:$B$186,0)</f>
        <v/>
      </c>
    </row>
    <row r="100" hidden="1" outlineLevel="1">
      <c r="B100" s="39" t="inlineStr">
        <is>
          <t>Net Short-Term Gain / (Loss)</t>
        </is>
      </c>
      <c r="C100" s="40">
        <f>C26-C98</f>
        <v/>
      </c>
    </row>
    <row r="101" hidden="1" outlineLevel="1">
      <c r="B101" s="39" t="inlineStr">
        <is>
          <t>Net Long-Term Gain / (Loss)</t>
        </is>
      </c>
      <c r="C101" s="40">
        <f>C27-C99</f>
        <v/>
      </c>
      <c r="K101" s="43" t="inlineStr">
        <is>
          <t>Federal Ordinary Brackets</t>
        </is>
      </c>
    </row>
    <row r="102" hidden="1" outlineLevel="1">
      <c r="B102" s="39" t="inlineStr">
        <is>
          <t>Combined Net Capital Gain / (Loss)</t>
        </is>
      </c>
      <c r="C102" s="40">
        <f>(C100+C101)</f>
        <v/>
      </c>
      <c r="L102" s="44">
        <f>INDEX('Tax Information'!D$6:D$1005,L86)</f>
        <v/>
      </c>
      <c r="M102" s="45">
        <f>INDEX('Tax Information'!E$6:E$1005,L86)</f>
        <v/>
      </c>
      <c r="N102" s="45">
        <f>INDEX('Tax Information'!F$6:F$1005,L86)</f>
        <v/>
      </c>
    </row>
    <row r="103" hidden="1" outlineLevel="1">
      <c r="B103" s="39" t="inlineStr">
        <is>
          <t>Ordinary-Taxed Capital Gain / (Loss Deduction, capped)</t>
        </is>
      </c>
      <c r="C103" s="40">
        <f>IF(C102&lt;=0,MAX(C102,-C97),IF(AND(C100&gt;=0,C101&gt;=0),C100,IF(AND(C100&lt;0,C101&gt;=0),0,IF(AND(C100&gt;=0,C101&lt;0),C102,0))))</f>
        <v/>
      </c>
      <c r="L103" s="44">
        <f>INDEX('Tax Information'!G$6:G$1005,L86)</f>
        <v/>
      </c>
      <c r="M103" s="45">
        <f>INDEX('Tax Information'!H$6:H$1005,L86)</f>
        <v/>
      </c>
      <c r="N103" s="45">
        <f>INDEX('Tax Information'!I$6:I$1005,L86)</f>
        <v/>
      </c>
    </row>
    <row r="104" hidden="1" outlineLevel="1">
      <c r="B104" s="39" t="inlineStr">
        <is>
          <t>Preferential (LTCG-Rate) Net Capital Gain</t>
        </is>
      </c>
      <c r="C104" s="40">
        <f>IF(C102&lt;=0,0,IF(AND(C100&gt;=0,C101&gt;=0),C101,IF(AND(C100&lt;0,C101&gt;=0),C102,IF(AND(C100&gt;=0,C101&lt;0),0,0))))</f>
        <v/>
      </c>
      <c r="L104" s="44">
        <f>INDEX('Tax Information'!J$6:J$1005,L86)</f>
        <v/>
      </c>
      <c r="M104" s="45">
        <f>INDEX('Tax Information'!K$6:K$1005,L86)</f>
        <v/>
      </c>
      <c r="N104" s="45">
        <f>INDEX('Tax Information'!L$6:L$1005,L86)</f>
        <v/>
      </c>
    </row>
    <row r="105" hidden="1" outlineLevel="1">
      <c r="B105" s="39" t="inlineStr">
        <is>
          <t>Total Household Earned Income (Salary+Bonus+SE, both)</t>
        </is>
      </c>
      <c r="C105" s="40">
        <f>(C20+D20+C21+D21+C22+D22)</f>
        <v/>
      </c>
      <c r="L105" s="44">
        <f>INDEX('Tax Information'!M$6:M$1005,L86)</f>
        <v/>
      </c>
      <c r="M105" s="45">
        <f>INDEX('Tax Information'!N$6:N$1005,L86)</f>
        <v/>
      </c>
      <c r="N105" s="45">
        <f>INDEX('Tax Information'!O$6:O$1005,L86)</f>
        <v/>
      </c>
    </row>
    <row r="106" hidden="1" outlineLevel="1">
      <c r="B106" s="39" t="inlineStr">
        <is>
          <t>Net Capital Gain (Ordinary + Preferential)</t>
        </is>
      </c>
      <c r="C106" s="40">
        <f>(C103+C104)</f>
        <v/>
      </c>
      <c r="L106" s="44">
        <f>INDEX('Tax Information'!P$6:P$1005,L86)</f>
        <v/>
      </c>
      <c r="M106" s="45">
        <f>INDEX('Tax Information'!Q$6:Q$1005,L86)</f>
        <v/>
      </c>
      <c r="N106" s="45">
        <f>INDEX('Tax Information'!R$6:R$1005,L86)</f>
        <v/>
      </c>
    </row>
    <row r="107" hidden="1" outlineLevel="1">
      <c r="B107" s="42" t="inlineStr">
        <is>
          <t>Gross Income</t>
        </is>
      </c>
      <c r="C107" s="40">
        <f>(C105+C23+C24+C25+C29+C106)</f>
        <v/>
      </c>
      <c r="L107" s="44">
        <f>INDEX('Tax Information'!S$6:S$1005,L86)</f>
        <v/>
      </c>
      <c r="M107" s="45">
        <f>INDEX('Tax Information'!T$6:T$1005,L86)</f>
        <v/>
      </c>
      <c r="N107" s="45">
        <f>INDEX('Tax Information'!U$6:U$1005,L86)</f>
        <v/>
      </c>
    </row>
    <row r="108" hidden="1" outlineLevel="1">
      <c r="B108" s="39" t="inlineStr">
        <is>
          <t>Total Pre-Tax Contributions (fully deductible, federal &amp; state)</t>
        </is>
      </c>
      <c r="C108" s="40">
        <f>(C33+D33+C34+D34+C35+D35+C36+D36)</f>
        <v/>
      </c>
      <c r="L108" s="44">
        <f>INDEX('Tax Information'!V$6:V$1005,L86)</f>
        <v/>
      </c>
      <c r="M108" s="45">
        <f>INDEX('Tax Information'!W$6:W$1005,L86)</f>
        <v/>
      </c>
      <c r="N108" s="45">
        <f>INDEX('Tax Information'!X$6:X$1005,L86)</f>
        <v/>
      </c>
    </row>
    <row r="109" hidden="1" outlineLevel="1">
      <c r="B109" s="42" t="inlineStr">
        <is>
          <t>Total Adjustments to Income</t>
        </is>
      </c>
      <c r="C109" s="40">
        <f>(C108+C96)</f>
        <v/>
      </c>
    </row>
    <row r="110" hidden="1" outlineLevel="1">
      <c r="B110" s="42" t="inlineStr">
        <is>
          <t>Adjusted Gross Income (AGI)</t>
        </is>
      </c>
      <c r="C110" s="40">
        <f>(C107-C109)</f>
        <v/>
      </c>
      <c r="K110" s="43" t="inlineStr">
        <is>
          <t>LTCG Brackets</t>
        </is>
      </c>
    </row>
    <row r="111" hidden="1" outlineLevel="1">
      <c r="B111" s="39" t="inlineStr">
        <is>
          <t>Standard Deduction</t>
        </is>
      </c>
      <c r="C111" s="40">
        <f>INDEX('Tax Information'!$D$32:$D$41,L88)</f>
        <v/>
      </c>
      <c r="L111" s="44">
        <f>INDEX('Tax Information'!D$19:D$1018,L87)</f>
        <v/>
      </c>
      <c r="M111" s="45">
        <f>INDEX('Tax Information'!E$19:E$1018,L87)</f>
        <v/>
      </c>
      <c r="N111" s="45">
        <f>INDEX('Tax Information'!F$19:F$1018,L87)</f>
        <v/>
      </c>
    </row>
    <row r="112" hidden="1" outlineLevel="1">
      <c r="B112" s="39" t="inlineStr">
        <is>
          <t>SALT Cap</t>
        </is>
      </c>
      <c r="C112" s="40">
        <f>INDEX('Tax Information'!$D$53:$D$62,L89)</f>
        <v/>
      </c>
      <c r="L112" s="44">
        <f>INDEX('Tax Information'!G$19:G$1018,L87)</f>
        <v/>
      </c>
      <c r="M112" s="45">
        <f>INDEX('Tax Information'!H$19:H$1018,L87)</f>
        <v/>
      </c>
      <c r="N112" s="45">
        <f>INDEX('Tax Information'!I$19:I$1018,L87)</f>
        <v/>
      </c>
    </row>
    <row r="113" hidden="1" outlineLevel="1">
      <c r="B113" s="39" t="inlineStr">
        <is>
          <t>State &amp; Local Taxes, Capped</t>
        </is>
      </c>
      <c r="C113" s="40">
        <f>MIN(C41,C112)</f>
        <v/>
      </c>
      <c r="L113" s="44">
        <f>INDEX('Tax Information'!J$19:J$1018,L87)</f>
        <v/>
      </c>
      <c r="M113" s="45">
        <f>INDEX('Tax Information'!K$19:K$1018,L87)</f>
        <v/>
      </c>
      <c r="N113" s="45">
        <f>INDEX('Tax Information'!L$19:L$1018,L87)</f>
        <v/>
      </c>
    </row>
    <row r="114" hidden="1" outlineLevel="1">
      <c r="B114" s="42" t="inlineStr">
        <is>
          <t>Total Itemized Deductions</t>
        </is>
      </c>
      <c r="C114" s="40">
        <f>(C113+C40+C42+C43)</f>
        <v/>
      </c>
    </row>
    <row r="115" hidden="1" outlineLevel="1">
      <c r="B115" s="39" t="inlineStr">
        <is>
          <t>Deduction Method Selected</t>
        </is>
      </c>
      <c r="C115" s="40">
        <f>C39</f>
        <v/>
      </c>
      <c r="K115" s="43" t="inlineStr">
        <is>
          <t>State Brackets</t>
        </is>
      </c>
    </row>
    <row r="116" hidden="1" outlineLevel="1">
      <c r="B116" s="42" t="inlineStr">
        <is>
          <t>Deduction Used</t>
        </is>
      </c>
      <c r="C116" s="40">
        <f>IF(C115="Force Standard Deduction",C111,IF(C115="Force Itemized Deduction",C114,MAX(C111,C114)))</f>
        <v/>
      </c>
      <c r="L116" s="44">
        <f>INDEX('Tax Information'!D$106:D$1105,L96)</f>
        <v/>
      </c>
      <c r="M116" s="45">
        <f>INDEX('Tax Information'!E$106:E$1105,L96)</f>
        <v/>
      </c>
      <c r="N116" s="45">
        <f>INDEX('Tax Information'!F$106:F$1105,L96)</f>
        <v/>
      </c>
    </row>
    <row r="117" hidden="1" outlineLevel="1">
      <c r="B117" s="42" t="inlineStr">
        <is>
          <t>Total Taxable Income</t>
        </is>
      </c>
      <c r="C117" s="40">
        <f>MAX(0,C110-C116)</f>
        <v/>
      </c>
      <c r="L117" s="44">
        <f>INDEX('Tax Information'!G$106:G$1105,L96)</f>
        <v/>
      </c>
      <c r="M117" s="45">
        <f>INDEX('Tax Information'!H$106:H$1105,L96)</f>
        <v/>
      </c>
      <c r="N117" s="45">
        <f>INDEX('Tax Information'!I$106:I$1105,L96)</f>
        <v/>
      </c>
    </row>
    <row r="118" hidden="1" outlineLevel="1">
      <c r="B118" s="39" t="inlineStr">
        <is>
          <t>Preferential-Rate Income Stacked (QDI + Net LTCG, capped)</t>
        </is>
      </c>
      <c r="C118" s="40">
        <f>MIN(C117,MAX(0,C24+C104))</f>
        <v/>
      </c>
      <c r="L118" s="44">
        <f>INDEX('Tax Information'!J$106:J$1105,L96)</f>
        <v/>
      </c>
      <c r="M118" s="45">
        <f>INDEX('Tax Information'!K$106:K$1105,L96)</f>
        <v/>
      </c>
      <c r="N118" s="45">
        <f>INDEX('Tax Information'!L$106:L$1105,L96)</f>
        <v/>
      </c>
    </row>
    <row r="119" hidden="1" outlineLevel="1">
      <c r="B119" s="42" t="inlineStr">
        <is>
          <t>Ordinary Taxable Income</t>
        </is>
      </c>
      <c r="C119" s="40">
        <f>MAX(0,C117-C118)</f>
        <v/>
      </c>
      <c r="L119" s="44">
        <f>INDEX('Tax Information'!M$106:M$1105,L96)</f>
        <v/>
      </c>
      <c r="M119" s="45">
        <f>INDEX('Tax Information'!N$106:N$1105,L96)</f>
        <v/>
      </c>
      <c r="N119" s="45">
        <f>INDEX('Tax Information'!O$106:O$1105,L96)</f>
        <v/>
      </c>
    </row>
    <row r="120" hidden="1" outlineLevel="1">
      <c r="B120" s="42" t="inlineStr">
        <is>
          <t>Federal Ordinary Income Tax</t>
        </is>
      </c>
      <c r="C120" s="40">
        <f>SUMPRODUCT((C119&gt;$M$102:$M$108)*($L$102:$L$108)*(MIN(C119,$N$102:$N$108)-$M$102:$M$108))</f>
        <v/>
      </c>
      <c r="L120" s="44">
        <f>INDEX('Tax Information'!P$106:P$1105,L96)</f>
        <v/>
      </c>
      <c r="M120" s="45">
        <f>INDEX('Tax Information'!Q$106:Q$1105,L96)</f>
        <v/>
      </c>
      <c r="N120" s="45">
        <f>INDEX('Tax Information'!R$106:R$1105,L96)</f>
        <v/>
      </c>
    </row>
    <row r="121" hidden="1" outlineLevel="1">
      <c r="B121" s="42" t="inlineStr">
        <is>
          <t>Federal Capital Gains / QDI Tax (stacked)</t>
        </is>
      </c>
      <c r="C121" s="40">
        <f>SUMPRODUCT($L$111:$L$113*(MAX(0,MIN(C117,$N$111:$N$113)-MAX(C119,$M$111:$M$113))))</f>
        <v/>
      </c>
      <c r="L121" s="44">
        <f>INDEX('Tax Information'!S$106:S$1105,L96)</f>
        <v/>
      </c>
      <c r="M121" s="45">
        <f>INDEX('Tax Information'!T$106:T$1105,L96)</f>
        <v/>
      </c>
      <c r="N121" s="45">
        <f>INDEX('Tax Information'!U$106:U$1105,L96)</f>
        <v/>
      </c>
    </row>
    <row r="122" hidden="1" outlineLevel="1">
      <c r="B122" s="39" t="inlineStr">
        <is>
          <t>NIIT MAGI Threshold</t>
        </is>
      </c>
      <c r="C122" s="40">
        <f>INDEX('Tax Information'!$B$45:$B$49,L90)</f>
        <v/>
      </c>
      <c r="L122" s="44">
        <f>INDEX('Tax Information'!V$106:V$1105,L96)</f>
        <v/>
      </c>
      <c r="M122" s="45">
        <f>INDEX('Tax Information'!W$106:W$1105,L96)</f>
        <v/>
      </c>
      <c r="N122" s="45">
        <f>INDEX('Tax Information'!X$106:X$1105,L96)</f>
        <v/>
      </c>
    </row>
    <row r="123" hidden="1" outlineLevel="1">
      <c r="B123" s="39" t="inlineStr">
        <is>
          <t>Net Investment Income</t>
        </is>
      </c>
      <c r="C123" s="40">
        <f>MAX(0,C24+C25+C23+C106)</f>
        <v/>
      </c>
      <c r="L123" s="44">
        <f>INDEX('Tax Information'!Y$106:Y$1105,L96)</f>
        <v/>
      </c>
      <c r="M123" s="45">
        <f>INDEX('Tax Information'!Z$106:Z$1105,L96)</f>
        <v/>
      </c>
      <c r="N123" s="45">
        <f>INDEX('Tax Information'!AA$106:AA$1105,L96)</f>
        <v/>
      </c>
    </row>
    <row r="124" hidden="1" outlineLevel="1">
      <c r="B124" s="39" t="inlineStr">
        <is>
          <t>NIIT Rate</t>
        </is>
      </c>
      <c r="C124" s="41">
        <f>INDEX('Tax Information'!$H$66:$H$67,L91)</f>
        <v/>
      </c>
    </row>
    <row r="125" hidden="1" outlineLevel="1">
      <c r="B125" s="42" t="inlineStr">
        <is>
          <t>Net Investment Income Tax (NIIT)</t>
        </is>
      </c>
      <c r="C125" s="40">
        <f>C124*MIN(C123,MAX(0,C110-C122))</f>
        <v/>
      </c>
    </row>
    <row r="126" hidden="1" outlineLevel="1">
      <c r="B126" s="39" t="inlineStr">
        <is>
          <t>Additional Medicare Threshold</t>
        </is>
      </c>
      <c r="C126" s="40">
        <f>INDEX('Tax Information'!$C$45:$C$49,L90)</f>
        <v/>
      </c>
    </row>
    <row r="127" hidden="1" outlineLevel="1">
      <c r="B127" s="39" t="inlineStr">
        <is>
          <t>Additional Medicare Rate</t>
        </is>
      </c>
      <c r="C127" s="41">
        <f>INDEX('Tax Information'!$I$66:$I$67,L91)</f>
        <v/>
      </c>
    </row>
    <row r="128" hidden="1" outlineLevel="1">
      <c r="B128" s="42" t="inlineStr">
        <is>
          <t>Additional Medicare Tax</t>
        </is>
      </c>
      <c r="C128" s="40">
        <f>C127*MAX(0,(C83+C84+C87+C88)-C126)</f>
        <v/>
      </c>
    </row>
    <row r="129" hidden="1" outlineLevel="1">
      <c r="B129" s="39" t="inlineStr">
        <is>
          <t>SS Rate (Employee)</t>
        </is>
      </c>
      <c r="C129" s="41">
        <f>INDEX('Tax Information'!$C$66:$C$67,L91)</f>
        <v/>
      </c>
    </row>
    <row r="130" hidden="1" outlineLevel="1">
      <c r="B130" s="39" t="inlineStr">
        <is>
          <t>Medicare Rate (Employee)</t>
        </is>
      </c>
      <c r="C130" s="41">
        <f>INDEX('Tax Information'!$E$66:$E$67,L91)</f>
        <v/>
      </c>
    </row>
    <row r="131" hidden="1" outlineLevel="1">
      <c r="B131" s="39" t="inlineStr">
        <is>
          <t>FICA Payroll Tax (SS + Medicare, both)</t>
        </is>
      </c>
      <c r="C131" s="40">
        <f>(MIN(C83,C85)*C129)+(MIN(C84,C85)*C129)+(C83*C130)+(C84*C130)</f>
        <v/>
      </c>
    </row>
    <row r="132" hidden="1" outlineLevel="1">
      <c r="B132" s="42" t="inlineStr">
        <is>
          <t>Total Payroll Taxes (FICA + SE + Addl. Medicare)</t>
        </is>
      </c>
      <c r="C132" s="40">
        <f>(C131+C95+C128)</f>
        <v/>
      </c>
    </row>
    <row r="133" hidden="1" outlineLevel="1">
      <c r="B133" s="39" t="inlineStr">
        <is>
          <t>State Standard Deduction</t>
        </is>
      </c>
      <c r="C133" s="40">
        <f>IF(L94="MFJ",INDEX('Tax Information'!$G$71:$G$102,L97),INDEX('Tax Information'!$F$71:$F$102,L97))</f>
        <v/>
      </c>
    </row>
    <row r="134" hidden="1" outlineLevel="1">
      <c r="B134" s="39" t="inlineStr">
        <is>
          <t>State AGI (federal AGI, since contributions treated the same for state)</t>
        </is>
      </c>
      <c r="C134" s="40">
        <f>C110</f>
        <v/>
      </c>
    </row>
    <row r="135" hidden="1" outlineLevel="1">
      <c r="B135" s="42" t="inlineStr">
        <is>
          <t>State Taxable Income</t>
        </is>
      </c>
      <c r="C135" s="40">
        <f>MAX(0,C134-C133)</f>
        <v/>
      </c>
    </row>
    <row r="136" hidden="1" outlineLevel="1">
      <c r="B136" s="42" t="inlineStr">
        <is>
          <t>State Income Tax</t>
        </is>
      </c>
      <c r="C136" s="40">
        <f>IF(L93="OTHER",C8*C135,SUMPRODUCT((C135&gt;$M$116:$M$123)*($L$116:$L$123)*(MIN(C135,$N$116:$N$123)-$M$116:$M$123)))</f>
        <v/>
      </c>
    </row>
    <row r="137" hidden="1" outlineLevel="1">
      <c r="B137" s="39" t="inlineStr">
        <is>
          <t>Local Tax Base Type</t>
        </is>
      </c>
      <c r="C137" s="40">
        <f>INDEX('Tax Information'!$D$173:$D$186,L99)</f>
        <v/>
      </c>
    </row>
    <row r="138" hidden="1" outlineLevel="1">
      <c r="B138" s="39" t="inlineStr">
        <is>
          <t>Local Tax Rate</t>
        </is>
      </c>
      <c r="C138" s="41">
        <f>IF(C137="Manual",C10,INDEX('Tax Information'!$E$173:$E$186,L99))</f>
        <v/>
      </c>
    </row>
    <row r="139" hidden="1" outlineLevel="1">
      <c r="B139" s="39" t="inlineStr">
        <is>
          <t>Earned Income Base</t>
        </is>
      </c>
      <c r="C139" s="40">
        <f>C105</f>
        <v/>
      </c>
    </row>
    <row r="140" hidden="1" outlineLevel="1">
      <c r="B140" s="42" t="inlineStr">
        <is>
          <t>Local Income Tax</t>
        </is>
      </c>
      <c r="C140" s="40">
        <f>IF(C137="None",0,IF(C137="All",C138*C117,IF(C137="PctState",C138*C136,C138*C139)))</f>
        <v/>
      </c>
    </row>
    <row r="141" hidden="1" outlineLevel="1">
      <c r="B141" s="42" t="inlineStr">
        <is>
          <t>Estimated Total Tax</t>
        </is>
      </c>
      <c r="C141" s="40">
        <f>MAX(0,C120+C121+C125+C132+C136+C140)</f>
        <v/>
      </c>
    </row>
    <row r="142" hidden="1" outlineLevel="1">
      <c r="B142" s="39" t="inlineStr">
        <is>
          <t>Effective Tax Rate</t>
        </is>
      </c>
      <c r="C142" s="46">
        <f>IFERROR(C141/C107,0)</f>
        <v/>
      </c>
    </row>
    <row r="143" hidden="1" outlineLevel="1">
      <c r="B143" s="39" t="inlineStr">
        <is>
          <t>Marginal Federal Tax Rate</t>
        </is>
      </c>
      <c r="C143" s="46">
        <f>IFERROR(INDEX($L$102:$L$108,MATCH(C119,$M$102:$M$108,1)),0)</f>
        <v/>
      </c>
    </row>
    <row r="144" hidden="1" outlineLevel="1">
      <c r="B144" s="39" t="inlineStr">
        <is>
          <t>Marginal State Tax Rate</t>
        </is>
      </c>
      <c r="C144" s="46">
        <f>IF(L93="OTHER",C8,IFERROR(INDEX($L$116:$L$123,MATCH(C135,$M$116:$M$123,1)),0))</f>
        <v/>
      </c>
    </row>
    <row r="145" hidden="1" outlineLevel="1">
      <c r="B145" s="39" t="inlineStr">
        <is>
          <t>Effective State Tax Rate (% of Gross Income)</t>
        </is>
      </c>
      <c r="C145" s="46">
        <f>IFERROR(C136/C107,0)</f>
        <v/>
      </c>
    </row>
    <row r="146" hidden="1" outlineLevel="1">
      <c r="B146" s="42" t="inlineStr">
        <is>
          <t>Estimated After-Tax Income</t>
        </is>
      </c>
      <c r="C146" s="40">
        <f>(C107-C141)</f>
        <v/>
      </c>
    </row>
    <row r="147" hidden="1" outlineLevel="1">
      <c r="B147" s="39" t="inlineStr">
        <is>
          <t>State Bracket Range Text</t>
        </is>
      </c>
      <c r="C147" s="40">
        <f>TEXT(INDEX($L$116:$L$123,1),"0.0%")&amp;" - "&amp;TEXT(MAX($L$116:$L$123),"0.0%")</f>
        <v/>
      </c>
    </row>
  </sheetData>
  <mergeCells count="14">
    <mergeCell ref="B79:E79"/>
    <mergeCell ref="A1:G1"/>
    <mergeCell ref="A18:G18"/>
    <mergeCell ref="A31:G31"/>
    <mergeCell ref="C15:D15"/>
    <mergeCell ref="A4:G4"/>
    <mergeCell ref="C14:D14"/>
    <mergeCell ref="A2:G2"/>
    <mergeCell ref="A38:G38"/>
    <mergeCell ref="C13:D13"/>
    <mergeCell ref="B12:D12"/>
    <mergeCell ref="B49:C49"/>
    <mergeCell ref="B16:D16"/>
    <mergeCell ref="A45:G45"/>
  </mergeCells>
  <dataValidations count="5">
    <dataValidation sqref="C5" showDropDown="0" showInputMessage="0" showErrorMessage="0" allowBlank="0" type="list">
      <formula1>"Single,Married Filing Jointly,Married Filing Separately,Head of Household,Qualifying Surviving Spouse"</formula1>
    </dataValidation>
    <dataValidation sqref="C6" showDropDown="0" showInputMessage="0" showErrorMessage="0" allowBlank="0" type="list">
      <formula1>"2024,2025"</formula1>
    </dataValidation>
    <dataValidation sqref="C7" showDropDown="0" showInputMessage="0" showErrorMessage="0" allowBlank="0" type="list">
      <formula1>='Tax Information'!$B$71:$B$102</formula1>
    </dataValidation>
    <dataValidation sqref="C9" showDropDown="0" showInputMessage="0" showErrorMessage="0" allowBlank="0" type="list">
      <formula1>='Tax Information'!$B$173:$B$186</formula1>
    </dataValidation>
    <dataValidation sqref="C39" showDropDown="0" showInputMessage="0" showErrorMessage="0" allowBlank="0" type="list">
      <formula1>"Auto (Larger of Standard or Itemized),Force Standard Deduction,Force Itemized Deduction"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40" customWidth="1" min="2" max="2"/>
    <col width="16" customWidth="1" min="3" max="3"/>
    <col width="16" customWidth="1" min="4" max="4"/>
    <col width="3" customWidth="1" min="5" max="5"/>
    <col width="22" customWidth="1" min="6" max="6"/>
    <col width="16" customWidth="1" min="7" max="7"/>
    <col width="4" customWidth="1" min="8" max="8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 ht="28" customHeight="1">
      <c r="A1" s="19" t="inlineStr">
        <is>
          <t>PORTFOLIO TAX ESTIMATOR</t>
        </is>
      </c>
    </row>
    <row r="2">
      <c r="A2" s="20" t="inlineStr">
        <is>
          <t>Estimate the tax your investment portfolio is generating. For planning purposes only - not tax, legal, or accounting advice.</t>
        </is>
      </c>
    </row>
    <row r="4" ht="18" customHeight="1">
      <c r="A4" s="3" t="inlineStr">
        <is>
          <t>YOUR INFORMATION</t>
        </is>
      </c>
    </row>
    <row r="5">
      <c r="B5" s="21" t="inlineStr">
        <is>
          <t>Filing Status</t>
        </is>
      </c>
      <c r="C5" s="12" t="inlineStr">
        <is>
          <t>Married Filing Jointly</t>
        </is>
      </c>
    </row>
    <row r="6">
      <c r="B6" s="21" t="inlineStr">
        <is>
          <t>Tax Year</t>
        </is>
      </c>
      <c r="C6" s="12" t="n">
        <v>2025</v>
      </c>
    </row>
    <row r="7">
      <c r="B7" s="21" t="inlineStr">
        <is>
          <t>State of Residence</t>
        </is>
      </c>
      <c r="C7" s="12" t="inlineStr">
        <is>
          <t>New Jersey</t>
        </is>
      </c>
    </row>
    <row r="8">
      <c r="B8" s="22" t="inlineStr">
        <is>
          <t>State Tax Rate if 'Other (Manual Entry)' Selected</t>
        </is>
      </c>
      <c r="C8" s="14" t="n">
        <v>0.05</v>
      </c>
    </row>
    <row r="10">
      <c r="B10" s="23" t="inlineStr">
        <is>
          <t>YOUR STATE TAX RATE</t>
        </is>
      </c>
    </row>
    <row r="11">
      <c r="B11" s="24" t="inlineStr">
        <is>
          <t>This State's Tax Rate Range</t>
        </is>
      </c>
      <c r="C11" s="25">
        <f>C109</f>
        <v/>
      </c>
      <c r="D11" s="26" t="n"/>
    </row>
    <row r="12">
      <c r="B12" s="24" t="inlineStr">
        <is>
          <t>Your Estimated Marginal State Rate</t>
        </is>
      </c>
      <c r="C12" s="27">
        <f>C107</f>
        <v/>
      </c>
      <c r="D12" s="26" t="n"/>
    </row>
    <row r="13">
      <c r="B13" s="24" t="inlineStr">
        <is>
          <t>Your Estimated Effective State Rate (on portfolio income)</t>
        </is>
      </c>
      <c r="C13" s="27">
        <f>C108</f>
        <v/>
      </c>
      <c r="D13" s="26" t="n"/>
    </row>
    <row r="15" ht="18" customHeight="1">
      <c r="A15" s="3" t="inlineStr">
        <is>
          <t>INCOME (used to determine your tax bracket)</t>
        </is>
      </c>
    </row>
    <row r="16">
      <c r="B16" s="24" t="inlineStr">
        <is>
          <t>Your Salary</t>
        </is>
      </c>
      <c r="C16" s="13" t="n">
        <v>150000</v>
      </c>
    </row>
    <row r="17">
      <c r="B17" s="24" t="inlineStr">
        <is>
          <t>Spouse Salary (if applicable)</t>
        </is>
      </c>
      <c r="C17" s="13" t="n">
        <v>100000</v>
      </c>
    </row>
    <row r="19" ht="18" customHeight="1">
      <c r="A19" s="3" t="inlineStr">
        <is>
          <t>PORTFOLIO INCOME</t>
        </is>
      </c>
    </row>
    <row r="20">
      <c r="B20" s="24" t="inlineStr">
        <is>
          <t>Qualified Dividends</t>
        </is>
      </c>
      <c r="C20" s="13" t="n">
        <v>8000</v>
      </c>
    </row>
    <row r="21">
      <c r="B21" s="24" t="inlineStr">
        <is>
          <t>Ordinary Dividends</t>
        </is>
      </c>
      <c r="C21" s="13" t="n">
        <v>4000</v>
      </c>
    </row>
    <row r="22">
      <c r="B22" s="24" t="inlineStr">
        <is>
          <t>Taxable Interest</t>
        </is>
      </c>
      <c r="C22" s="13" t="n">
        <v>5000</v>
      </c>
    </row>
    <row r="23">
      <c r="B23" s="24" t="inlineStr">
        <is>
          <t>Tax-Exempt Interest</t>
        </is>
      </c>
      <c r="C23" s="13" t="n">
        <v>3000</v>
      </c>
    </row>
    <row r="24">
      <c r="B24" s="24" t="inlineStr">
        <is>
          <t>Short-Term Capital Gains</t>
        </is>
      </c>
      <c r="C24" s="13" t="n">
        <v>3000</v>
      </c>
    </row>
    <row r="25">
      <c r="B25" s="24" t="inlineStr">
        <is>
          <t>Long-Term Capital Gains</t>
        </is>
      </c>
      <c r="C25" s="13" t="n">
        <v>7000</v>
      </c>
    </row>
    <row r="26">
      <c r="B26" s="24" t="inlineStr">
        <is>
          <t>Capital Losses (enter as positive)</t>
        </is>
      </c>
      <c r="C26" s="13" t="n">
        <v>2000</v>
      </c>
    </row>
    <row r="27">
      <c r="B27" s="24" t="inlineStr">
        <is>
          <t>Capital-Loss Carryforward</t>
        </is>
      </c>
      <c r="C27" s="13" t="n">
        <v>0</v>
      </c>
    </row>
    <row r="28">
      <c r="B28" s="24" t="inlineStr">
        <is>
          <t>Other Investment Income</t>
        </is>
      </c>
      <c r="C28" s="13" t="n">
        <v>0</v>
      </c>
    </row>
    <row r="30" ht="18" customHeight="1">
      <c r="A30" s="3" t="inlineStr">
        <is>
          <t>YOUR PORTFOLIO TAX</t>
        </is>
      </c>
    </row>
    <row r="31" ht="30" customHeight="1">
      <c r="B31" s="29" t="inlineStr">
        <is>
          <t>Estimated Total Portfolio Tax</t>
        </is>
      </c>
      <c r="C31" s="29" t="inlineStr">
        <is>
          <t>Portfolio Tax Rate</t>
        </is>
      </c>
      <c r="D31" s="29" t="inlineStr">
        <is>
          <t>After-Tax Portfolio Income</t>
        </is>
      </c>
      <c r="E31" s="29" t="inlineStr">
        <is>
          <t>Estimated NIIT</t>
        </is>
      </c>
    </row>
    <row r="32" ht="30" customHeight="1">
      <c r="B32" s="30">
        <f>C103</f>
        <v/>
      </c>
      <c r="C32" s="31">
        <f>C104</f>
        <v/>
      </c>
      <c r="D32" s="30">
        <f>C105</f>
        <v/>
      </c>
      <c r="E32" s="30">
        <f>C95</f>
        <v/>
      </c>
    </row>
    <row r="34" ht="18" customHeight="1">
      <c r="B34" s="3" t="inlineStr">
        <is>
          <t>Portfolio Tax Estimate</t>
        </is>
      </c>
    </row>
    <row r="35">
      <c r="B35" s="24" t="inlineStr">
        <is>
          <t>Total Portfolio Income</t>
        </is>
      </c>
      <c r="C35" s="32">
        <f>C102</f>
        <v/>
      </c>
    </row>
    <row r="36">
      <c r="B36" s="24" t="inlineStr">
        <is>
          <t>Estimated Federal Portfolio Tax</t>
        </is>
      </c>
      <c r="C36" s="32">
        <f>C90</f>
        <v/>
      </c>
    </row>
    <row r="37">
      <c r="B37" s="24" t="inlineStr">
        <is>
          <t>Estimated State Portfolio Tax</t>
        </is>
      </c>
      <c r="C37" s="32">
        <f>C101</f>
        <v/>
      </c>
    </row>
    <row r="38">
      <c r="B38" s="24" t="inlineStr">
        <is>
          <t>Estimated NIIT</t>
        </is>
      </c>
      <c r="C38" s="32">
        <f>C95</f>
        <v/>
      </c>
    </row>
    <row r="39">
      <c r="B39" s="21" t="inlineStr">
        <is>
          <t>Estimated Total Portfolio Tax</t>
        </is>
      </c>
      <c r="C39" s="33">
        <f>C103</f>
        <v/>
      </c>
    </row>
    <row r="40">
      <c r="B40" s="24" t="inlineStr">
        <is>
          <t>Portfolio Tax Rate</t>
        </is>
      </c>
      <c r="C40" s="34">
        <f>C104</f>
        <v/>
      </c>
    </row>
    <row r="41">
      <c r="B41" s="21" t="inlineStr">
        <is>
          <t>After-Tax Portfolio Income</t>
        </is>
      </c>
      <c r="C41" s="33">
        <f>C105</f>
        <v/>
      </c>
    </row>
    <row r="43" ht="18" customHeight="1">
      <c r="B43" s="3" t="inlineStr">
        <is>
          <t>Tax by Income Type</t>
        </is>
      </c>
    </row>
    <row r="44">
      <c r="F44" s="7" t="inlineStr">
        <is>
          <t>Income Type</t>
        </is>
      </c>
      <c r="G44" s="7" t="inlineStr">
        <is>
          <t>Tax</t>
        </is>
      </c>
    </row>
    <row r="45">
      <c r="F45" s="35" t="inlineStr">
        <is>
          <t>Interest</t>
        </is>
      </c>
      <c r="G45" s="36">
        <f>C111</f>
        <v/>
      </c>
    </row>
    <row r="46">
      <c r="F46" s="35" t="inlineStr">
        <is>
          <t>Ordinary Dividends</t>
        </is>
      </c>
      <c r="G46" s="36">
        <f>C112</f>
        <v/>
      </c>
    </row>
    <row r="47">
      <c r="F47" s="35" t="inlineStr">
        <is>
          <t>Qualified Dividends</t>
        </is>
      </c>
      <c r="G47" s="36">
        <f>C115</f>
        <v/>
      </c>
    </row>
    <row r="48">
      <c r="F48" s="35" t="inlineStr">
        <is>
          <t>Short-Term Capital Gains</t>
        </is>
      </c>
      <c r="G48" s="36">
        <f>C113</f>
        <v/>
      </c>
    </row>
    <row r="49">
      <c r="F49" s="35" t="inlineStr">
        <is>
          <t>Long-Term Capital Gains</t>
        </is>
      </c>
      <c r="G49" s="36">
        <f>C116</f>
        <v/>
      </c>
    </row>
    <row r="50">
      <c r="F50" s="35" t="inlineStr">
        <is>
          <t>Other Investment Income</t>
        </is>
      </c>
      <c r="G50" s="36">
        <f>C114</f>
        <v/>
      </c>
    </row>
    <row r="65">
      <c r="B65" s="37" t="inlineStr">
        <is>
          <t>Full calculation detail is available below for your advisor. Click the [+] in the row-number margin to expand.</t>
        </is>
      </c>
    </row>
    <row r="67" hidden="1" outlineLevel="1" collapsed="1">
      <c r="A67" s="38" t="inlineStr">
        <is>
          <t>CALCULATION DETAIL (grouped - click + to expand)</t>
        </is>
      </c>
    </row>
    <row r="68" hidden="1" outlineLevel="1"/>
    <row r="69" hidden="1" outlineLevel="1">
      <c r="B69" s="39" t="inlineStr">
        <is>
          <t>Standard Deduction (selected tax year/status)</t>
        </is>
      </c>
      <c r="C69" s="40">
        <f>INDEX('Tax Information'!$D$32:$D$41,L74)</f>
        <v/>
      </c>
      <c r="K69" s="7" t="inlineStr">
        <is>
          <t>Filing Status</t>
        </is>
      </c>
      <c r="L69" s="35">
        <f>C5</f>
        <v/>
      </c>
    </row>
    <row r="70" hidden="1" outlineLevel="1">
      <c r="B70" s="39" t="inlineStr">
        <is>
          <t>Total Salary</t>
        </is>
      </c>
      <c r="C70" s="40">
        <f>(C16+C17)</f>
        <v/>
      </c>
      <c r="K70" s="7" t="inlineStr">
        <is>
          <t>Tax Year</t>
        </is>
      </c>
      <c r="L70" s="35">
        <f>C6</f>
        <v/>
      </c>
    </row>
    <row r="71" hidden="1" outlineLevel="1">
      <c r="B71" s="42" t="inlineStr">
        <is>
          <t>Baseline Taxable Income (salary only)</t>
        </is>
      </c>
      <c r="C71" s="40">
        <f>MAX(0,C70-C69)</f>
        <v/>
      </c>
      <c r="K71" s="7" t="inlineStr">
        <is>
          <t>Federal Key</t>
        </is>
      </c>
      <c r="L71" s="35">
        <f>L70&amp;"|"&amp;L69</f>
        <v/>
      </c>
    </row>
    <row r="72" hidden="1" outlineLevel="1">
      <c r="B72" s="42" t="inlineStr">
        <is>
          <t>Baseline Federal Tax (salary only)</t>
        </is>
      </c>
      <c r="C72" s="40">
        <f>SUMPRODUCT((C71&gt;$M$85:$M$91)*($L$85:$L$91)*(MIN(C71,$N$85:$N$91)-$M$85:$M$91))</f>
        <v/>
      </c>
      <c r="K72" s="7" t="inlineStr">
        <is>
          <t>Fed Bracket Row#</t>
        </is>
      </c>
      <c r="L72" s="35">
        <f>MATCH(L71,'Tax Information'!$C$6:$C$15,0)</f>
        <v/>
      </c>
    </row>
    <row r="73" hidden="1" outlineLevel="1">
      <c r="B73" s="42" t="inlineStr">
        <is>
          <t>Ordinary-Taxed Investment Income (Interest + Ord. Div + Other)</t>
        </is>
      </c>
      <c r="C73" s="40">
        <f>(C22+C21+C28)</f>
        <v/>
      </c>
      <c r="K73" s="7" t="inlineStr">
        <is>
          <t>LTCG Bracket Row#</t>
        </is>
      </c>
      <c r="L73" s="35">
        <f>MATCH(L71,'Tax Information'!$C$19:$C$28,0)</f>
        <v/>
      </c>
    </row>
    <row r="74" hidden="1" outlineLevel="1">
      <c r="B74" s="39" t="inlineStr">
        <is>
          <t>Capital Loss Limit vs. Ordinary Income</t>
        </is>
      </c>
      <c r="C74" s="40">
        <f>INDEX('Tax Information'!$D$45:$D$49,L75)</f>
        <v/>
      </c>
      <c r="K74" s="7" t="inlineStr">
        <is>
          <t>StdDed Row#</t>
        </is>
      </c>
      <c r="L74" s="35">
        <f>MATCH(L71,'Tax Information'!$C$32:$C$41,0)</f>
        <v/>
      </c>
    </row>
    <row r="75" hidden="1" outlineLevel="1">
      <c r="B75" s="39" t="inlineStr">
        <is>
          <t>Loss Applied to Short-Term Gain</t>
        </is>
      </c>
      <c r="C75" s="40">
        <f>MIN(C26,MAX(0,C24))</f>
        <v/>
      </c>
      <c r="K75" s="7" t="inlineStr">
        <is>
          <t>Status Row# (NIIT/CapLoss)</t>
        </is>
      </c>
      <c r="L75" s="35">
        <f>MATCH(L69,'Tax Information'!$A$45:$A$49,0)</f>
        <v/>
      </c>
    </row>
    <row r="76" hidden="1" outlineLevel="1">
      <c r="B76" s="39" t="inlineStr">
        <is>
          <t>Loss Applied to Long-Term Gain</t>
        </is>
      </c>
      <c r="C76" s="40">
        <f>C26-C75</f>
        <v/>
      </c>
      <c r="K76" s="7" t="inlineStr">
        <is>
          <t>Year Row# (Payroll)</t>
        </is>
      </c>
      <c r="L76" s="35">
        <f>MATCH(L70,'Tax Information'!$A$66:$A$67,0)</f>
        <v/>
      </c>
    </row>
    <row r="77" hidden="1" outlineLevel="1">
      <c r="B77" s="39" t="inlineStr">
        <is>
          <t>Net Short-Term Gain / (Loss)</t>
        </is>
      </c>
      <c r="C77" s="40">
        <f>C24-C75</f>
        <v/>
      </c>
      <c r="K77" s="7" t="inlineStr">
        <is>
          <t>State Name</t>
        </is>
      </c>
      <c r="L77" s="35">
        <f>C7</f>
        <v/>
      </c>
    </row>
    <row r="78" hidden="1" outlineLevel="1">
      <c r="B78" s="39" t="inlineStr">
        <is>
          <t>Net Long-Term Gain / (Loss), net of carryforward</t>
        </is>
      </c>
      <c r="C78" s="40">
        <f>C25-C76-C27</f>
        <v/>
      </c>
      <c r="K78" s="7" t="inlineStr">
        <is>
          <t>State Code</t>
        </is>
      </c>
      <c r="L78" s="35">
        <f>INDEX('Tax Information'!$A$71:$A$102,MATCH(L77,'Tax Information'!$B$71:$B$102,0))</f>
        <v/>
      </c>
    </row>
    <row r="79" hidden="1" outlineLevel="1">
      <c r="B79" s="39" t="inlineStr">
        <is>
          <t>Combined Net Capital Gain / (Loss)</t>
        </is>
      </c>
      <c r="C79" s="40">
        <f>(C77+C78)</f>
        <v/>
      </c>
      <c r="K79" s="7" t="inlineStr">
        <is>
          <t>State Category</t>
        </is>
      </c>
      <c r="L79" s="35">
        <f>IF(OR(L69="Married Filing Jointly",L69="Qualifying Surviving Spouse"),"MFJ","Single")</f>
        <v/>
      </c>
    </row>
    <row r="80" hidden="1" outlineLevel="1">
      <c r="B80" s="39" t="inlineStr">
        <is>
          <t>Ordinary-Taxed Capital Gain / (Loss Deduction, capped)</t>
        </is>
      </c>
      <c r="C80" s="40">
        <f>IF(C79&lt;=0,MAX(C79,-C74),IF(AND(C77&gt;=0,C78&gt;=0),C77,IF(AND(C77&lt;0,C78&gt;=0),0,IF(AND(C77&gt;=0,C78&lt;0),C79,0))))</f>
        <v/>
      </c>
      <c r="K80" s="7" t="inlineStr">
        <is>
          <t>State Key</t>
        </is>
      </c>
      <c r="L80" s="35">
        <f>L78&amp;"|"&amp;L79</f>
        <v/>
      </c>
    </row>
    <row r="81" hidden="1" outlineLevel="1">
      <c r="B81" s="39" t="inlineStr">
        <is>
          <t>Preferential (LTCG-Rate) Net Capital Gain</t>
        </is>
      </c>
      <c r="C81" s="40">
        <f>IF(C79&lt;=0,0,IF(AND(C77&gt;=0,C78&gt;=0),C78,IF(AND(C77&lt;0,C78&gt;=0),C79,IF(AND(C77&gt;=0,C78&lt;0),0,0))))</f>
        <v/>
      </c>
      <c r="K81" s="7" t="inlineStr">
        <is>
          <t>State Bracket Row#</t>
        </is>
      </c>
      <c r="L81" s="35">
        <f>MATCH(L80,'Tax Information'!$C$106:$C$169,0)</f>
        <v/>
      </c>
    </row>
    <row r="82" hidden="1" outlineLevel="1">
      <c r="B82" s="42" t="inlineStr">
        <is>
          <t>Taxable Income: Salary + Ordinary Investment Income + Ordinary Capital Gain</t>
        </is>
      </c>
      <c r="C82" s="40">
        <f>MAX(0,C70+C73+C80-C69)</f>
        <v/>
      </c>
      <c r="K82" s="7" t="inlineStr">
        <is>
          <t>State Master Row#</t>
        </is>
      </c>
      <c r="L82" s="35">
        <f>MATCH(L78,'Tax Information'!$A$71:$A$102,0)</f>
        <v/>
      </c>
    </row>
    <row r="83" hidden="1" outlineLevel="1">
      <c r="B83" s="39" t="inlineStr">
        <is>
          <t>Federal Tax at Step 1</t>
        </is>
      </c>
      <c r="C83" s="40">
        <f>SUMPRODUCT((C82&gt;$M$85:$M$91)*($L$85:$L$91)*(MIN(C82,$N$85:$N$91)-$M$85:$M$91))</f>
        <v/>
      </c>
    </row>
    <row r="84" hidden="1" outlineLevel="1">
      <c r="B84" s="42" t="inlineStr">
        <is>
          <t>Tax Attributable to Interest / Ordinary Dividends / Short-Term Gains / Other</t>
        </is>
      </c>
      <c r="C84" s="40">
        <f>(C83-C72)</f>
        <v/>
      </c>
      <c r="K84" s="43" t="inlineStr">
        <is>
          <t>Federal Ordinary Brackets</t>
        </is>
      </c>
    </row>
    <row r="85" hidden="1" outlineLevel="1">
      <c r="B85" s="39" t="inlineStr">
        <is>
          <t>Taxable Income: Step 1 + Qualified Dividends</t>
        </is>
      </c>
      <c r="C85" s="40">
        <f>(C82+C20)</f>
        <v/>
      </c>
      <c r="L85" s="44">
        <f>INDEX('Tax Information'!D$6:D$1005,L72)</f>
        <v/>
      </c>
      <c r="M85" s="45">
        <f>INDEX('Tax Information'!E$6:E$1005,L72)</f>
        <v/>
      </c>
      <c r="N85" s="45">
        <f>INDEX('Tax Information'!F$6:F$1005,L72)</f>
        <v/>
      </c>
    </row>
    <row r="86" hidden="1" outlineLevel="1">
      <c r="B86" s="42" t="inlineStr">
        <is>
          <t>Federal Cap Gains Tax on Qualified Dividends (stacked)</t>
        </is>
      </c>
      <c r="C86" s="40">
        <f>SUMPRODUCT($L$94:$L$96*(MAX(0,MIN(C85,$N$94:$N$96)-MAX(C82,$M$94:$M$96))))</f>
        <v/>
      </c>
      <c r="L86" s="44">
        <f>INDEX('Tax Information'!G$6:G$1005,L72)</f>
        <v/>
      </c>
      <c r="M86" s="45">
        <f>INDEX('Tax Information'!H$6:H$1005,L72)</f>
        <v/>
      </c>
      <c r="N86" s="45">
        <f>INDEX('Tax Information'!I$6:I$1005,L72)</f>
        <v/>
      </c>
    </row>
    <row r="87" hidden="1" outlineLevel="1">
      <c r="B87" s="39" t="inlineStr">
        <is>
          <t>Taxable Income: Step 2 + Long-Term Capital Gain</t>
        </is>
      </c>
      <c r="C87" s="40">
        <f>(C85+C81)</f>
        <v/>
      </c>
      <c r="L87" s="44">
        <f>INDEX('Tax Information'!J$6:J$1005,L72)</f>
        <v/>
      </c>
      <c r="M87" s="45">
        <f>INDEX('Tax Information'!K$6:K$1005,L72)</f>
        <v/>
      </c>
      <c r="N87" s="45">
        <f>INDEX('Tax Information'!L$6:L$1005,L72)</f>
        <v/>
      </c>
    </row>
    <row r="88" hidden="1" outlineLevel="1">
      <c r="B88" s="39" t="inlineStr">
        <is>
          <t>Federal Cap Gains Tax through Step 3 (cumulative)</t>
        </is>
      </c>
      <c r="C88" s="40">
        <f>SUMPRODUCT($L$94:$L$96*(MAX(0,MIN(C87,$N$94:$N$96)-MAX(C82,$M$94:$M$96))))</f>
        <v/>
      </c>
      <c r="L88" s="44">
        <f>INDEX('Tax Information'!M$6:M$1005,L72)</f>
        <v/>
      </c>
      <c r="M88" s="45">
        <f>INDEX('Tax Information'!N$6:N$1005,L72)</f>
        <v/>
      </c>
      <c r="N88" s="45">
        <f>INDEX('Tax Information'!O$6:O$1005,L72)</f>
        <v/>
      </c>
    </row>
    <row r="89" hidden="1" outlineLevel="1">
      <c r="B89" s="42" t="inlineStr">
        <is>
          <t>Tax Attributable to Long-Term Capital Gains</t>
        </is>
      </c>
      <c r="C89" s="40">
        <f>(C88-C86)</f>
        <v/>
      </c>
      <c r="L89" s="44">
        <f>INDEX('Tax Information'!P$6:P$1005,L72)</f>
        <v/>
      </c>
      <c r="M89" s="45">
        <f>INDEX('Tax Information'!Q$6:Q$1005,L72)</f>
        <v/>
      </c>
      <c r="N89" s="45">
        <f>INDEX('Tax Information'!R$6:R$1005,L72)</f>
        <v/>
      </c>
    </row>
    <row r="90" hidden="1" outlineLevel="1">
      <c r="B90" s="42" t="inlineStr">
        <is>
          <t>Total Incremental Federal Tax from Portfolio</t>
        </is>
      </c>
      <c r="C90" s="40">
        <f>(C84+C86+C89)</f>
        <v/>
      </c>
      <c r="L90" s="44">
        <f>INDEX('Tax Information'!S$6:S$1005,L72)</f>
        <v/>
      </c>
      <c r="M90" s="45">
        <f>INDEX('Tax Information'!T$6:T$1005,L72)</f>
        <v/>
      </c>
      <c r="N90" s="45">
        <f>INDEX('Tax Information'!U$6:U$1005,L72)</f>
        <v/>
      </c>
    </row>
    <row r="91" hidden="1" outlineLevel="1">
      <c r="B91" s="39" t="inlineStr">
        <is>
          <t>Net Investment Income</t>
        </is>
      </c>
      <c r="C91" s="40">
        <f>MAX(0,C73+C20+C80+C81)</f>
        <v/>
      </c>
      <c r="L91" s="44">
        <f>INDEX('Tax Information'!V$6:V$1005,L72)</f>
        <v/>
      </c>
      <c r="M91" s="45">
        <f>INDEX('Tax Information'!W$6:W$1005,L72)</f>
        <v/>
      </c>
      <c r="N91" s="45">
        <f>INDEX('Tax Information'!X$6:X$1005,L72)</f>
        <v/>
      </c>
    </row>
    <row r="92" hidden="1" outlineLevel="1">
      <c r="B92" s="39" t="inlineStr">
        <is>
          <t>MAGI With Portfolio</t>
        </is>
      </c>
      <c r="C92" s="40">
        <f>(C70+C73+C80+C20+C81)</f>
        <v/>
      </c>
    </row>
    <row r="93" hidden="1" outlineLevel="1">
      <c r="B93" s="39" t="inlineStr">
        <is>
          <t>NIIT Threshold</t>
        </is>
      </c>
      <c r="C93" s="40">
        <f>INDEX('Tax Information'!$B$45:$B$49,L75)</f>
        <v/>
      </c>
      <c r="K93" s="43" t="inlineStr">
        <is>
          <t>LTCG Brackets</t>
        </is>
      </c>
    </row>
    <row r="94" hidden="1" outlineLevel="1">
      <c r="B94" s="39" t="inlineStr">
        <is>
          <t>NIIT Rate</t>
        </is>
      </c>
      <c r="C94" s="41">
        <f>INDEX('Tax Information'!$H$66:$H$67,L76)</f>
        <v/>
      </c>
      <c r="L94" s="44">
        <f>INDEX('Tax Information'!D$19:D$1018,L73)</f>
        <v/>
      </c>
      <c r="M94" s="45">
        <f>INDEX('Tax Information'!E$19:E$1018,L73)</f>
        <v/>
      </c>
      <c r="N94" s="45">
        <f>INDEX('Tax Information'!F$19:F$1018,L73)</f>
        <v/>
      </c>
    </row>
    <row r="95" hidden="1" outlineLevel="1">
      <c r="B95" s="42" t="inlineStr">
        <is>
          <t>Estimated NIIT</t>
        </is>
      </c>
      <c r="C95" s="40">
        <f>C94*MIN(C91,MAX(0,C92-C93))</f>
        <v/>
      </c>
      <c r="L95" s="44">
        <f>INDEX('Tax Information'!G$19:G$1018,L73)</f>
        <v/>
      </c>
      <c r="M95" s="45">
        <f>INDEX('Tax Information'!H$19:H$1018,L73)</f>
        <v/>
      </c>
      <c r="N95" s="45">
        <f>INDEX('Tax Information'!I$19:I$1018,L73)</f>
        <v/>
      </c>
    </row>
    <row r="96" hidden="1" outlineLevel="1">
      <c r="B96" s="39" t="inlineStr">
        <is>
          <t>State Standard Deduction</t>
        </is>
      </c>
      <c r="C96" s="40">
        <f>IF(L79="MFJ",INDEX('Tax Information'!$G$71:$G$102,L82),INDEX('Tax Information'!$F$71:$F$102,L82))</f>
        <v/>
      </c>
      <c r="L96" s="44">
        <f>INDEX('Tax Information'!J$19:J$1018,L73)</f>
        <v/>
      </c>
      <c r="M96" s="45">
        <f>INDEX('Tax Information'!K$19:K$1018,L73)</f>
        <v/>
      </c>
      <c r="N96" s="45">
        <f>INDEX('Tax Information'!L$19:L$1018,L73)</f>
        <v/>
      </c>
    </row>
    <row r="97" hidden="1" outlineLevel="1">
      <c r="B97" s="39" t="inlineStr">
        <is>
          <t>Baseline State Taxable Income (salary only)</t>
        </is>
      </c>
      <c r="C97" s="40">
        <f>MAX(0,C70-C96)</f>
        <v/>
      </c>
    </row>
    <row r="98" hidden="1" outlineLevel="1">
      <c r="B98" s="39" t="inlineStr">
        <is>
          <t>Baseline State Tax (salary only)</t>
        </is>
      </c>
      <c r="C98" s="40">
        <f>IF(L78="OTHER",C8*C97,SUMPRODUCT((C97&gt;$M$99:$M$106)*($L$99:$L$106)*(MIN(C97,$N$99:$N$106)-$M$99:$M$106)))</f>
        <v/>
      </c>
      <c r="K98" s="43" t="inlineStr">
        <is>
          <t>State Brackets</t>
        </is>
      </c>
    </row>
    <row r="99" hidden="1" outlineLevel="1">
      <c r="B99" s="39" t="inlineStr">
        <is>
          <t>State Taxable Income With Portfolio (incl. tax-exempt interest addback)</t>
        </is>
      </c>
      <c r="C99" s="40">
        <f>MAX(0,C70+C73+C80+C20+C81+C23-C96)</f>
        <v/>
      </c>
      <c r="L99" s="44">
        <f>INDEX('Tax Information'!D$106:D$1105,L81)</f>
        <v/>
      </c>
      <c r="M99" s="45">
        <f>INDEX('Tax Information'!E$106:E$1105,L81)</f>
        <v/>
      </c>
      <c r="N99" s="45">
        <f>INDEX('Tax Information'!F$106:F$1105,L81)</f>
        <v/>
      </c>
    </row>
    <row r="100" hidden="1" outlineLevel="1">
      <c r="B100" s="39" t="inlineStr">
        <is>
          <t>State Tax With Portfolio</t>
        </is>
      </c>
      <c r="C100" s="40">
        <f>IF(L78="OTHER",C8*C99,SUMPRODUCT((C99&gt;$M$99:$M$106)*($L$99:$L$106)*(MIN(C99,$N$99:$N$106)-$M$99:$M$106)))</f>
        <v/>
      </c>
      <c r="L100" s="44">
        <f>INDEX('Tax Information'!G$106:G$1105,L81)</f>
        <v/>
      </c>
      <c r="M100" s="45">
        <f>INDEX('Tax Information'!H$106:H$1105,L81)</f>
        <v/>
      </c>
      <c r="N100" s="45">
        <f>INDEX('Tax Information'!I$106:I$1105,L81)</f>
        <v/>
      </c>
    </row>
    <row r="101" hidden="1" outlineLevel="1">
      <c r="B101" s="42" t="inlineStr">
        <is>
          <t>Estimated State Tax Attributable to Portfolio</t>
        </is>
      </c>
      <c r="C101" s="40">
        <f>(C100-C98)</f>
        <v/>
      </c>
      <c r="L101" s="44">
        <f>INDEX('Tax Information'!J$106:J$1105,L81)</f>
        <v/>
      </c>
      <c r="M101" s="45">
        <f>INDEX('Tax Information'!K$106:K$1105,L81)</f>
        <v/>
      </c>
      <c r="N101" s="45">
        <f>INDEX('Tax Information'!L$106:L$1105,L81)</f>
        <v/>
      </c>
    </row>
    <row r="102" hidden="1" outlineLevel="1">
      <c r="B102" s="42" t="inlineStr">
        <is>
          <t>Total Portfolio Income (taxable)</t>
        </is>
      </c>
      <c r="C102" s="40">
        <f>(C73+C20+C80+C81)</f>
        <v/>
      </c>
      <c r="L102" s="44">
        <f>INDEX('Tax Information'!M$106:M$1105,L81)</f>
        <v/>
      </c>
      <c r="M102" s="45">
        <f>INDEX('Tax Information'!N$106:N$1105,L81)</f>
        <v/>
      </c>
      <c r="N102" s="45">
        <f>INDEX('Tax Information'!O$106:O$1105,L81)</f>
        <v/>
      </c>
    </row>
    <row r="103" hidden="1" outlineLevel="1">
      <c r="B103" s="42" t="inlineStr">
        <is>
          <t>Estimated Total Portfolio Tax</t>
        </is>
      </c>
      <c r="C103" s="40">
        <f>(C90+C95+C101)</f>
        <v/>
      </c>
      <c r="L103" s="44">
        <f>INDEX('Tax Information'!P$106:P$1105,L81)</f>
        <v/>
      </c>
      <c r="M103" s="45">
        <f>INDEX('Tax Information'!Q$106:Q$1105,L81)</f>
        <v/>
      </c>
      <c r="N103" s="45">
        <f>INDEX('Tax Information'!R$106:R$1105,L81)</f>
        <v/>
      </c>
    </row>
    <row r="104" hidden="1" outlineLevel="1">
      <c r="B104" s="39" t="inlineStr">
        <is>
          <t>Estimated Portfolio Tax Rate</t>
        </is>
      </c>
      <c r="C104" s="46">
        <f>IFERROR(C103/C102,0)</f>
        <v/>
      </c>
      <c r="L104" s="44">
        <f>INDEX('Tax Information'!S$106:S$1105,L81)</f>
        <v/>
      </c>
      <c r="M104" s="45">
        <f>INDEX('Tax Information'!T$106:T$1105,L81)</f>
        <v/>
      </c>
      <c r="N104" s="45">
        <f>INDEX('Tax Information'!U$106:U$1105,L81)</f>
        <v/>
      </c>
    </row>
    <row r="105" hidden="1" outlineLevel="1">
      <c r="B105" s="42" t="inlineStr">
        <is>
          <t>Estimated After-Tax Portfolio Income</t>
        </is>
      </c>
      <c r="C105" s="40">
        <f>(C102-C103)</f>
        <v/>
      </c>
      <c r="L105" s="44">
        <f>INDEX('Tax Information'!V$106:V$1105,L81)</f>
        <v/>
      </c>
      <c r="M105" s="45">
        <f>INDEX('Tax Information'!W$106:W$1105,L81)</f>
        <v/>
      </c>
      <c r="N105" s="45">
        <f>INDEX('Tax Information'!X$106:X$1105,L81)</f>
        <v/>
      </c>
    </row>
    <row r="106" hidden="1" outlineLevel="1">
      <c r="B106" s="39" t="inlineStr">
        <is>
          <t>Marginal Federal Rate on Next Dollar of Ordinary Portfolio Income</t>
        </is>
      </c>
      <c r="C106" s="46">
        <f>IFERROR(INDEX($L$85:$L$91,MATCH(C82,$M$85:$M$91,1)),0)</f>
        <v/>
      </c>
      <c r="L106" s="44">
        <f>INDEX('Tax Information'!Y$106:Y$1105,L81)</f>
        <v/>
      </c>
      <c r="M106" s="45">
        <f>INDEX('Tax Information'!Z$106:Z$1105,L81)</f>
        <v/>
      </c>
      <c r="N106" s="45">
        <f>INDEX('Tax Information'!AA$106:AA$1105,L81)</f>
        <v/>
      </c>
    </row>
    <row r="107" hidden="1" outlineLevel="1">
      <c r="B107" s="39" t="inlineStr">
        <is>
          <t>Marginal State Tax Rate</t>
        </is>
      </c>
      <c r="C107" s="46">
        <f>IF(L78="OTHER",C8,IFERROR(INDEX($L$99:$L$106,MATCH(C99,$M$99:$M$106,1)),0))</f>
        <v/>
      </c>
    </row>
    <row r="108" hidden="1" outlineLevel="1">
      <c r="B108" s="39" t="inlineStr">
        <is>
          <t>Effective State Tax Rate on Portfolio Income</t>
        </is>
      </c>
      <c r="C108" s="46">
        <f>IFERROR(C101/C102,0)</f>
        <v/>
      </c>
    </row>
    <row r="109" hidden="1" outlineLevel="1">
      <c r="B109" s="39" t="inlineStr">
        <is>
          <t>State Bracket Range Text</t>
        </is>
      </c>
      <c r="C109" s="40">
        <f>TEXT(INDEX($L$99:$L$106,1),"0.0%")&amp;" - "&amp;TEXT(MAX($L$99:$L$106),"0.0%")</f>
        <v/>
      </c>
    </row>
    <row r="110" hidden="1" outlineLevel="1">
      <c r="B110" s="39" t="inlineStr">
        <is>
          <t>Ordinary Tax Base (Interest+OrdDiv+Other+Net ST Gain)</t>
        </is>
      </c>
      <c r="C110" s="40">
        <f>(C73+C80)</f>
        <v/>
      </c>
    </row>
    <row r="111" hidden="1" outlineLevel="1">
      <c r="B111" s="39" t="inlineStr">
        <is>
          <t>Tax on Interest (pro-rata share)</t>
        </is>
      </c>
      <c r="C111" s="40">
        <f>IFERROR(C84*C22/C110,0)</f>
        <v/>
      </c>
    </row>
    <row r="112" hidden="1" outlineLevel="1">
      <c r="B112" s="39" t="inlineStr">
        <is>
          <t>Tax on Ordinary Dividends (pro-rata share)</t>
        </is>
      </c>
      <c r="C112" s="40">
        <f>IFERROR(C84*C21/C110,0)</f>
        <v/>
      </c>
    </row>
    <row r="113" hidden="1" outlineLevel="1">
      <c r="B113" s="39" t="inlineStr">
        <is>
          <t>Tax on Short-Term Capital Gains (pro-rata share)</t>
        </is>
      </c>
      <c r="C113" s="40">
        <f>IFERROR(C84*C80/C110,0)</f>
        <v/>
      </c>
    </row>
    <row r="114" hidden="1" outlineLevel="1">
      <c r="B114" s="39" t="inlineStr">
        <is>
          <t>Tax on Other Investment Income (pro-rata share)</t>
        </is>
      </c>
      <c r="C114" s="40">
        <f>IFERROR(C84*C28/C110,0)</f>
        <v/>
      </c>
    </row>
    <row r="115" hidden="1" outlineLevel="1">
      <c r="B115" s="39" t="inlineStr">
        <is>
          <t>Tax on Qualified Dividends</t>
        </is>
      </c>
      <c r="C115" s="40">
        <f>C86</f>
        <v/>
      </c>
    </row>
    <row r="116" hidden="1" outlineLevel="1">
      <c r="B116" s="39" t="inlineStr">
        <is>
          <t>Tax on Long-Term Capital Gains</t>
        </is>
      </c>
      <c r="C116" s="40">
        <f>C89</f>
        <v/>
      </c>
    </row>
  </sheetData>
  <mergeCells count="13">
    <mergeCell ref="B10:D10"/>
    <mergeCell ref="C12:D12"/>
    <mergeCell ref="A1:G1"/>
    <mergeCell ref="B65:E65"/>
    <mergeCell ref="C11:D11"/>
    <mergeCell ref="B34:C34"/>
    <mergeCell ref="A4:G4"/>
    <mergeCell ref="A30:G30"/>
    <mergeCell ref="A2:G2"/>
    <mergeCell ref="C13:D13"/>
    <mergeCell ref="A15:G15"/>
    <mergeCell ref="A19:G19"/>
    <mergeCell ref="B43:C43"/>
  </mergeCells>
  <dataValidations count="3">
    <dataValidation sqref="C5" showDropDown="0" showInputMessage="0" showErrorMessage="0" allowBlank="0" type="list">
      <formula1>"Single,Married Filing Jointly,Married Filing Separately,Head of Household,Qualifying Surviving Spouse"</formula1>
    </dataValidation>
    <dataValidation sqref="C6" showDropDown="0" showInputMessage="0" showErrorMessage="0" allowBlank="0" type="list">
      <formula1>"2024,2025"</formula1>
    </dataValidation>
    <dataValidation sqref="C7" showDropDown="0" showInputMessage="0" showErrorMessage="0" allowBlank="0" type="list">
      <formula1>='Tax Information'!$B$71:$B$102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08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28" customHeight="1">
      <c r="A1" s="1" t="inlineStr">
        <is>
          <t>TAX INFORMATION &amp; ASSUMPTIONS</t>
        </is>
      </c>
    </row>
    <row r="2">
      <c r="A2" s="2" t="inlineStr">
        <is>
          <t>This tab stores every tax-law figure used by the two calculators (federal and state brackets, deduction amounts, thresholds, and local rates). Update it to refresh figures for a new tax year or a state not yet listed - no other formulas need to change.</t>
        </is>
      </c>
    </row>
    <row r="4" ht="18" customHeight="1">
      <c r="A4" s="3" t="inlineStr">
        <is>
          <t>Federal Ordinary Income Tax Brackets</t>
        </is>
      </c>
    </row>
    <row r="5">
      <c r="A5" s="5" t="inlineStr">
        <is>
          <t>Year</t>
        </is>
      </c>
      <c r="B5" s="5" t="inlineStr">
        <is>
          <t>Filing Status</t>
        </is>
      </c>
      <c r="C5" s="5" t="inlineStr">
        <is>
          <t>Key</t>
        </is>
      </c>
      <c r="D5" s="5" t="inlineStr">
        <is>
          <t>Rate 1</t>
        </is>
      </c>
      <c r="E5" s="5" t="inlineStr">
        <is>
          <t>Min 1</t>
        </is>
      </c>
      <c r="F5" s="5" t="inlineStr">
        <is>
          <t>Max 1</t>
        </is>
      </c>
      <c r="G5" s="5" t="inlineStr">
        <is>
          <t>Rate 2</t>
        </is>
      </c>
      <c r="H5" s="5" t="inlineStr">
        <is>
          <t>Min 2</t>
        </is>
      </c>
      <c r="I5" s="5" t="inlineStr">
        <is>
          <t>Max 2</t>
        </is>
      </c>
      <c r="J5" s="5" t="inlineStr">
        <is>
          <t>Rate 3</t>
        </is>
      </c>
      <c r="K5" s="5" t="inlineStr">
        <is>
          <t>Min 3</t>
        </is>
      </c>
      <c r="L5" s="5" t="inlineStr">
        <is>
          <t>Max 3</t>
        </is>
      </c>
      <c r="M5" s="5" t="inlineStr">
        <is>
          <t>Rate 4</t>
        </is>
      </c>
      <c r="N5" s="5" t="inlineStr">
        <is>
          <t>Min 4</t>
        </is>
      </c>
      <c r="O5" s="5" t="inlineStr">
        <is>
          <t>Max 4</t>
        </is>
      </c>
      <c r="P5" s="5" t="inlineStr">
        <is>
          <t>Rate 5</t>
        </is>
      </c>
      <c r="Q5" s="5" t="inlineStr">
        <is>
          <t>Min 5</t>
        </is>
      </c>
      <c r="R5" s="5" t="inlineStr">
        <is>
          <t>Max 5</t>
        </is>
      </c>
      <c r="S5" s="5" t="inlineStr">
        <is>
          <t>Rate 6</t>
        </is>
      </c>
      <c r="T5" s="5" t="inlineStr">
        <is>
          <t>Min 6</t>
        </is>
      </c>
      <c r="U5" s="5" t="inlineStr">
        <is>
          <t>Max 6</t>
        </is>
      </c>
      <c r="V5" s="5" t="inlineStr">
        <is>
          <t>Rate 7</t>
        </is>
      </c>
      <c r="W5" s="5" t="inlineStr">
        <is>
          <t>Min 7</t>
        </is>
      </c>
      <c r="X5" s="5" t="inlineStr">
        <is>
          <t>Max 7</t>
        </is>
      </c>
    </row>
    <row r="6">
      <c r="A6" s="6" t="n">
        <v>2024</v>
      </c>
      <c r="B6" s="6" t="inlineStr">
        <is>
          <t>Single</t>
        </is>
      </c>
      <c r="C6" s="7">
        <f>A6&amp;"|"&amp;B6</f>
        <v/>
      </c>
      <c r="D6" s="8" t="n">
        <v>0.1</v>
      </c>
      <c r="E6" s="9" t="n">
        <v>0</v>
      </c>
      <c r="F6" s="10">
        <f>H6</f>
        <v/>
      </c>
      <c r="G6" s="8" t="n">
        <v>0.12</v>
      </c>
      <c r="H6" s="9" t="n">
        <v>11600</v>
      </c>
      <c r="I6" s="10">
        <f>K6</f>
        <v/>
      </c>
      <c r="J6" s="8" t="n">
        <v>0.22</v>
      </c>
      <c r="K6" s="9" t="n">
        <v>47150</v>
      </c>
      <c r="L6" s="10">
        <f>N6</f>
        <v/>
      </c>
      <c r="M6" s="8" t="n">
        <v>0.24</v>
      </c>
      <c r="N6" s="9" t="n">
        <v>100525</v>
      </c>
      <c r="O6" s="10">
        <f>Q6</f>
        <v/>
      </c>
      <c r="P6" s="8" t="n">
        <v>0.32</v>
      </c>
      <c r="Q6" s="9" t="n">
        <v>191950</v>
      </c>
      <c r="R6" s="10">
        <f>T6</f>
        <v/>
      </c>
      <c r="S6" s="8" t="n">
        <v>0.35</v>
      </c>
      <c r="T6" s="9" t="n">
        <v>243725</v>
      </c>
      <c r="U6" s="10">
        <f>W6</f>
        <v/>
      </c>
      <c r="V6" s="8" t="n">
        <v>0.37</v>
      </c>
      <c r="W6" s="9" t="n">
        <v>609350</v>
      </c>
      <c r="X6" s="10" t="n">
        <v>999999999</v>
      </c>
    </row>
    <row r="7">
      <c r="A7" s="6" t="n">
        <v>2024</v>
      </c>
      <c r="B7" s="6" t="inlineStr">
        <is>
          <t>Married Filing Jointly</t>
        </is>
      </c>
      <c r="C7" s="7">
        <f>A7&amp;"|"&amp;B7</f>
        <v/>
      </c>
      <c r="D7" s="8" t="n">
        <v>0.1</v>
      </c>
      <c r="E7" s="9" t="n">
        <v>0</v>
      </c>
      <c r="F7" s="10">
        <f>H7</f>
        <v/>
      </c>
      <c r="G7" s="8" t="n">
        <v>0.12</v>
      </c>
      <c r="H7" s="9" t="n">
        <v>23200</v>
      </c>
      <c r="I7" s="10">
        <f>K7</f>
        <v/>
      </c>
      <c r="J7" s="8" t="n">
        <v>0.22</v>
      </c>
      <c r="K7" s="9" t="n">
        <v>94300</v>
      </c>
      <c r="L7" s="10">
        <f>N7</f>
        <v/>
      </c>
      <c r="M7" s="8" t="n">
        <v>0.24</v>
      </c>
      <c r="N7" s="9" t="n">
        <v>201050</v>
      </c>
      <c r="O7" s="10">
        <f>Q7</f>
        <v/>
      </c>
      <c r="P7" s="8" t="n">
        <v>0.32</v>
      </c>
      <c r="Q7" s="9" t="n">
        <v>383900</v>
      </c>
      <c r="R7" s="10">
        <f>T7</f>
        <v/>
      </c>
      <c r="S7" s="8" t="n">
        <v>0.35</v>
      </c>
      <c r="T7" s="9" t="n">
        <v>487450</v>
      </c>
      <c r="U7" s="10">
        <f>W7</f>
        <v/>
      </c>
      <c r="V7" s="8" t="n">
        <v>0.37</v>
      </c>
      <c r="W7" s="9" t="n">
        <v>731200</v>
      </c>
      <c r="X7" s="10" t="n">
        <v>999999999</v>
      </c>
    </row>
    <row r="8">
      <c r="A8" s="6" t="n">
        <v>2024</v>
      </c>
      <c r="B8" s="6" t="inlineStr">
        <is>
          <t>Married Filing Separately</t>
        </is>
      </c>
      <c r="C8" s="7">
        <f>A8&amp;"|"&amp;B8</f>
        <v/>
      </c>
      <c r="D8" s="8" t="n">
        <v>0.1</v>
      </c>
      <c r="E8" s="9" t="n">
        <v>0</v>
      </c>
      <c r="F8" s="10">
        <f>H8</f>
        <v/>
      </c>
      <c r="G8" s="8" t="n">
        <v>0.12</v>
      </c>
      <c r="H8" s="9" t="n">
        <v>11600</v>
      </c>
      <c r="I8" s="10">
        <f>K8</f>
        <v/>
      </c>
      <c r="J8" s="8" t="n">
        <v>0.22</v>
      </c>
      <c r="K8" s="9" t="n">
        <v>47150</v>
      </c>
      <c r="L8" s="10">
        <f>N8</f>
        <v/>
      </c>
      <c r="M8" s="8" t="n">
        <v>0.24</v>
      </c>
      <c r="N8" s="9" t="n">
        <v>100525</v>
      </c>
      <c r="O8" s="10">
        <f>Q8</f>
        <v/>
      </c>
      <c r="P8" s="8" t="n">
        <v>0.32</v>
      </c>
      <c r="Q8" s="9" t="n">
        <v>191950</v>
      </c>
      <c r="R8" s="10">
        <f>T8</f>
        <v/>
      </c>
      <c r="S8" s="8" t="n">
        <v>0.35</v>
      </c>
      <c r="T8" s="9" t="n">
        <v>243725</v>
      </c>
      <c r="U8" s="10">
        <f>W8</f>
        <v/>
      </c>
      <c r="V8" s="8" t="n">
        <v>0.37</v>
      </c>
      <c r="W8" s="9" t="n">
        <v>365600</v>
      </c>
      <c r="X8" s="10" t="n">
        <v>999999999</v>
      </c>
    </row>
    <row r="9">
      <c r="A9" s="6" t="n">
        <v>2024</v>
      </c>
      <c r="B9" s="6" t="inlineStr">
        <is>
          <t>Head of Household</t>
        </is>
      </c>
      <c r="C9" s="7">
        <f>A9&amp;"|"&amp;B9</f>
        <v/>
      </c>
      <c r="D9" s="8" t="n">
        <v>0.1</v>
      </c>
      <c r="E9" s="9" t="n">
        <v>0</v>
      </c>
      <c r="F9" s="10">
        <f>H9</f>
        <v/>
      </c>
      <c r="G9" s="8" t="n">
        <v>0.12</v>
      </c>
      <c r="H9" s="9" t="n">
        <v>16550</v>
      </c>
      <c r="I9" s="10">
        <f>K9</f>
        <v/>
      </c>
      <c r="J9" s="8" t="n">
        <v>0.22</v>
      </c>
      <c r="K9" s="9" t="n">
        <v>63100</v>
      </c>
      <c r="L9" s="10">
        <f>N9</f>
        <v/>
      </c>
      <c r="M9" s="8" t="n">
        <v>0.24</v>
      </c>
      <c r="N9" s="9" t="n">
        <v>100500</v>
      </c>
      <c r="O9" s="10">
        <f>Q9</f>
        <v/>
      </c>
      <c r="P9" s="8" t="n">
        <v>0.32</v>
      </c>
      <c r="Q9" s="9" t="n">
        <v>191950</v>
      </c>
      <c r="R9" s="10">
        <f>T9</f>
        <v/>
      </c>
      <c r="S9" s="8" t="n">
        <v>0.35</v>
      </c>
      <c r="T9" s="9" t="n">
        <v>243700</v>
      </c>
      <c r="U9" s="10">
        <f>W9</f>
        <v/>
      </c>
      <c r="V9" s="8" t="n">
        <v>0.37</v>
      </c>
      <c r="W9" s="9" t="n">
        <v>609350</v>
      </c>
      <c r="X9" s="10" t="n">
        <v>999999999</v>
      </c>
    </row>
    <row r="10">
      <c r="A10" s="6" t="n">
        <v>2024</v>
      </c>
      <c r="B10" s="6" t="inlineStr">
        <is>
          <t>Qualifying Surviving Spouse</t>
        </is>
      </c>
      <c r="C10" s="7">
        <f>A10&amp;"|"&amp;B10</f>
        <v/>
      </c>
      <c r="D10" s="8" t="n">
        <v>0.1</v>
      </c>
      <c r="E10" s="9" t="n">
        <v>0</v>
      </c>
      <c r="F10" s="10">
        <f>H10</f>
        <v/>
      </c>
      <c r="G10" s="8" t="n">
        <v>0.12</v>
      </c>
      <c r="H10" s="9" t="n">
        <v>23200</v>
      </c>
      <c r="I10" s="10">
        <f>K10</f>
        <v/>
      </c>
      <c r="J10" s="8" t="n">
        <v>0.22</v>
      </c>
      <c r="K10" s="9" t="n">
        <v>94300</v>
      </c>
      <c r="L10" s="10">
        <f>N10</f>
        <v/>
      </c>
      <c r="M10" s="8" t="n">
        <v>0.24</v>
      </c>
      <c r="N10" s="9" t="n">
        <v>201050</v>
      </c>
      <c r="O10" s="10">
        <f>Q10</f>
        <v/>
      </c>
      <c r="P10" s="8" t="n">
        <v>0.32</v>
      </c>
      <c r="Q10" s="9" t="n">
        <v>383900</v>
      </c>
      <c r="R10" s="10">
        <f>T10</f>
        <v/>
      </c>
      <c r="S10" s="8" t="n">
        <v>0.35</v>
      </c>
      <c r="T10" s="9" t="n">
        <v>487450</v>
      </c>
      <c r="U10" s="10">
        <f>W10</f>
        <v/>
      </c>
      <c r="V10" s="8" t="n">
        <v>0.37</v>
      </c>
      <c r="W10" s="9" t="n">
        <v>731200</v>
      </c>
      <c r="X10" s="10" t="n">
        <v>999999999</v>
      </c>
    </row>
    <row r="11">
      <c r="A11" s="6" t="n">
        <v>2025</v>
      </c>
      <c r="B11" s="6" t="inlineStr">
        <is>
          <t>Single</t>
        </is>
      </c>
      <c r="C11" s="7">
        <f>A11&amp;"|"&amp;B11</f>
        <v/>
      </c>
      <c r="D11" s="8" t="n">
        <v>0.1</v>
      </c>
      <c r="E11" s="9" t="n">
        <v>0</v>
      </c>
      <c r="F11" s="10">
        <f>H11</f>
        <v/>
      </c>
      <c r="G11" s="8" t="n">
        <v>0.12</v>
      </c>
      <c r="H11" s="9" t="n">
        <v>11925</v>
      </c>
      <c r="I11" s="10">
        <f>K11</f>
        <v/>
      </c>
      <c r="J11" s="8" t="n">
        <v>0.22</v>
      </c>
      <c r="K11" s="9" t="n">
        <v>48475</v>
      </c>
      <c r="L11" s="10">
        <f>N11</f>
        <v/>
      </c>
      <c r="M11" s="8" t="n">
        <v>0.24</v>
      </c>
      <c r="N11" s="9" t="n">
        <v>103350</v>
      </c>
      <c r="O11" s="10">
        <f>Q11</f>
        <v/>
      </c>
      <c r="P11" s="8" t="n">
        <v>0.32</v>
      </c>
      <c r="Q11" s="9" t="n">
        <v>197300</v>
      </c>
      <c r="R11" s="10">
        <f>T11</f>
        <v/>
      </c>
      <c r="S11" s="8" t="n">
        <v>0.35</v>
      </c>
      <c r="T11" s="9" t="n">
        <v>250525</v>
      </c>
      <c r="U11" s="10">
        <f>W11</f>
        <v/>
      </c>
      <c r="V11" s="8" t="n">
        <v>0.37</v>
      </c>
      <c r="W11" s="9" t="n">
        <v>626350</v>
      </c>
      <c r="X11" s="10" t="n">
        <v>999999999</v>
      </c>
    </row>
    <row r="12">
      <c r="A12" s="6" t="n">
        <v>2025</v>
      </c>
      <c r="B12" s="6" t="inlineStr">
        <is>
          <t>Married Filing Jointly</t>
        </is>
      </c>
      <c r="C12" s="7">
        <f>A12&amp;"|"&amp;B12</f>
        <v/>
      </c>
      <c r="D12" s="8" t="n">
        <v>0.1</v>
      </c>
      <c r="E12" s="9" t="n">
        <v>0</v>
      </c>
      <c r="F12" s="10">
        <f>H12</f>
        <v/>
      </c>
      <c r="G12" s="8" t="n">
        <v>0.12</v>
      </c>
      <c r="H12" s="9" t="n">
        <v>23850</v>
      </c>
      <c r="I12" s="10">
        <f>K12</f>
        <v/>
      </c>
      <c r="J12" s="8" t="n">
        <v>0.22</v>
      </c>
      <c r="K12" s="9" t="n">
        <v>96950</v>
      </c>
      <c r="L12" s="10">
        <f>N12</f>
        <v/>
      </c>
      <c r="M12" s="8" t="n">
        <v>0.24</v>
      </c>
      <c r="N12" s="9" t="n">
        <v>206700</v>
      </c>
      <c r="O12" s="10">
        <f>Q12</f>
        <v/>
      </c>
      <c r="P12" s="8" t="n">
        <v>0.32</v>
      </c>
      <c r="Q12" s="9" t="n">
        <v>394600</v>
      </c>
      <c r="R12" s="10">
        <f>T12</f>
        <v/>
      </c>
      <c r="S12" s="8" t="n">
        <v>0.35</v>
      </c>
      <c r="T12" s="9" t="n">
        <v>501050</v>
      </c>
      <c r="U12" s="10">
        <f>W12</f>
        <v/>
      </c>
      <c r="V12" s="8" t="n">
        <v>0.37</v>
      </c>
      <c r="W12" s="9" t="n">
        <v>751600</v>
      </c>
      <c r="X12" s="10" t="n">
        <v>999999999</v>
      </c>
    </row>
    <row r="13">
      <c r="A13" s="6" t="n">
        <v>2025</v>
      </c>
      <c r="B13" s="6" t="inlineStr">
        <is>
          <t>Married Filing Separately</t>
        </is>
      </c>
      <c r="C13" s="7">
        <f>A13&amp;"|"&amp;B13</f>
        <v/>
      </c>
      <c r="D13" s="8" t="n">
        <v>0.1</v>
      </c>
      <c r="E13" s="9" t="n">
        <v>0</v>
      </c>
      <c r="F13" s="10">
        <f>H13</f>
        <v/>
      </c>
      <c r="G13" s="8" t="n">
        <v>0.12</v>
      </c>
      <c r="H13" s="9" t="n">
        <v>11925</v>
      </c>
      <c r="I13" s="10">
        <f>K13</f>
        <v/>
      </c>
      <c r="J13" s="8" t="n">
        <v>0.22</v>
      </c>
      <c r="K13" s="9" t="n">
        <v>48475</v>
      </c>
      <c r="L13" s="10">
        <f>N13</f>
        <v/>
      </c>
      <c r="M13" s="8" t="n">
        <v>0.24</v>
      </c>
      <c r="N13" s="9" t="n">
        <v>103350</v>
      </c>
      <c r="O13" s="10">
        <f>Q13</f>
        <v/>
      </c>
      <c r="P13" s="8" t="n">
        <v>0.32</v>
      </c>
      <c r="Q13" s="9" t="n">
        <v>197300</v>
      </c>
      <c r="R13" s="10">
        <f>T13</f>
        <v/>
      </c>
      <c r="S13" s="8" t="n">
        <v>0.35</v>
      </c>
      <c r="T13" s="9" t="n">
        <v>250525</v>
      </c>
      <c r="U13" s="10">
        <f>W13</f>
        <v/>
      </c>
      <c r="V13" s="8" t="n">
        <v>0.37</v>
      </c>
      <c r="W13" s="9" t="n">
        <v>375800</v>
      </c>
      <c r="X13" s="10" t="n">
        <v>999999999</v>
      </c>
    </row>
    <row r="14">
      <c r="A14" s="6" t="n">
        <v>2025</v>
      </c>
      <c r="B14" s="6" t="inlineStr">
        <is>
          <t>Head of Household</t>
        </is>
      </c>
      <c r="C14" s="7">
        <f>A14&amp;"|"&amp;B14</f>
        <v/>
      </c>
      <c r="D14" s="8" t="n">
        <v>0.1</v>
      </c>
      <c r="E14" s="9" t="n">
        <v>0</v>
      </c>
      <c r="F14" s="10">
        <f>H14</f>
        <v/>
      </c>
      <c r="G14" s="8" t="n">
        <v>0.12</v>
      </c>
      <c r="H14" s="9" t="n">
        <v>17000</v>
      </c>
      <c r="I14" s="10">
        <f>K14</f>
        <v/>
      </c>
      <c r="J14" s="8" t="n">
        <v>0.22</v>
      </c>
      <c r="K14" s="9" t="n">
        <v>64850</v>
      </c>
      <c r="L14" s="10">
        <f>N14</f>
        <v/>
      </c>
      <c r="M14" s="8" t="n">
        <v>0.24</v>
      </c>
      <c r="N14" s="9" t="n">
        <v>103350</v>
      </c>
      <c r="O14" s="10">
        <f>Q14</f>
        <v/>
      </c>
      <c r="P14" s="8" t="n">
        <v>0.32</v>
      </c>
      <c r="Q14" s="9" t="n">
        <v>197300</v>
      </c>
      <c r="R14" s="10">
        <f>T14</f>
        <v/>
      </c>
      <c r="S14" s="8" t="n">
        <v>0.35</v>
      </c>
      <c r="T14" s="9" t="n">
        <v>250500</v>
      </c>
      <c r="U14" s="10">
        <f>W14</f>
        <v/>
      </c>
      <c r="V14" s="8" t="n">
        <v>0.37</v>
      </c>
      <c r="W14" s="9" t="n">
        <v>626350</v>
      </c>
      <c r="X14" s="10" t="n">
        <v>999999999</v>
      </c>
    </row>
    <row r="15">
      <c r="A15" s="6" t="n">
        <v>2025</v>
      </c>
      <c r="B15" s="6" t="inlineStr">
        <is>
          <t>Qualifying Surviving Spouse</t>
        </is>
      </c>
      <c r="C15" s="7">
        <f>A15&amp;"|"&amp;B15</f>
        <v/>
      </c>
      <c r="D15" s="8" t="n">
        <v>0.1</v>
      </c>
      <c r="E15" s="9" t="n">
        <v>0</v>
      </c>
      <c r="F15" s="10">
        <f>H15</f>
        <v/>
      </c>
      <c r="G15" s="8" t="n">
        <v>0.12</v>
      </c>
      <c r="H15" s="9" t="n">
        <v>23850</v>
      </c>
      <c r="I15" s="10">
        <f>K15</f>
        <v/>
      </c>
      <c r="J15" s="8" t="n">
        <v>0.22</v>
      </c>
      <c r="K15" s="9" t="n">
        <v>96950</v>
      </c>
      <c r="L15" s="10">
        <f>N15</f>
        <v/>
      </c>
      <c r="M15" s="8" t="n">
        <v>0.24</v>
      </c>
      <c r="N15" s="9" t="n">
        <v>206700</v>
      </c>
      <c r="O15" s="10">
        <f>Q15</f>
        <v/>
      </c>
      <c r="P15" s="8" t="n">
        <v>0.32</v>
      </c>
      <c r="Q15" s="9" t="n">
        <v>394600</v>
      </c>
      <c r="R15" s="10">
        <f>T15</f>
        <v/>
      </c>
      <c r="S15" s="8" t="n">
        <v>0.35</v>
      </c>
      <c r="T15" s="9" t="n">
        <v>501050</v>
      </c>
      <c r="U15" s="10">
        <f>W15</f>
        <v/>
      </c>
      <c r="V15" s="8" t="n">
        <v>0.37</v>
      </c>
      <c r="W15" s="9" t="n">
        <v>751600</v>
      </c>
      <c r="X15" s="10" t="n">
        <v>999999999</v>
      </c>
    </row>
    <row r="17" ht="18" customHeight="1">
      <c r="A17" s="3" t="inlineStr">
        <is>
          <t>Long-Term Capital Gains / Qualified Dividend Brackets (0% / 15% / 20%)</t>
        </is>
      </c>
    </row>
    <row r="18">
      <c r="A18" s="5" t="inlineStr">
        <is>
          <t>Year</t>
        </is>
      </c>
      <c r="B18" s="5" t="inlineStr">
        <is>
          <t>Filing Status</t>
        </is>
      </c>
      <c r="C18" s="5" t="inlineStr">
        <is>
          <t>Key</t>
        </is>
      </c>
      <c r="D18" s="5" t="inlineStr">
        <is>
          <t>Rate 1</t>
        </is>
      </c>
      <c r="E18" s="5" t="inlineStr">
        <is>
          <t>Min 1</t>
        </is>
      </c>
      <c r="F18" s="5" t="inlineStr">
        <is>
          <t>Max 1</t>
        </is>
      </c>
      <c r="G18" s="5" t="inlineStr">
        <is>
          <t>Rate 2</t>
        </is>
      </c>
      <c r="H18" s="5" t="inlineStr">
        <is>
          <t>Min 2</t>
        </is>
      </c>
      <c r="I18" s="5" t="inlineStr">
        <is>
          <t>Max 2</t>
        </is>
      </c>
      <c r="J18" s="5" t="inlineStr">
        <is>
          <t>Rate 3</t>
        </is>
      </c>
      <c r="K18" s="5" t="inlineStr">
        <is>
          <t>Min 3</t>
        </is>
      </c>
      <c r="L18" s="5" t="inlineStr">
        <is>
          <t>Max 3</t>
        </is>
      </c>
    </row>
    <row r="19">
      <c r="A19" s="6" t="n">
        <v>2024</v>
      </c>
      <c r="B19" s="6" t="inlineStr">
        <is>
          <t>Single</t>
        </is>
      </c>
      <c r="C19" s="7">
        <f>A19&amp;"|"&amp;B19</f>
        <v/>
      </c>
      <c r="D19" s="8" t="n">
        <v>0</v>
      </c>
      <c r="E19" s="9" t="n">
        <v>0</v>
      </c>
      <c r="F19" s="10">
        <f>H19</f>
        <v/>
      </c>
      <c r="G19" s="8" t="n">
        <v>0.15</v>
      </c>
      <c r="H19" s="9" t="n">
        <v>47025</v>
      </c>
      <c r="I19" s="10">
        <f>K19</f>
        <v/>
      </c>
      <c r="J19" s="8" t="n">
        <v>0.2</v>
      </c>
      <c r="K19" s="9" t="n">
        <v>518900</v>
      </c>
      <c r="L19" s="10" t="n">
        <v>999999999</v>
      </c>
    </row>
    <row r="20">
      <c r="A20" s="6" t="n">
        <v>2024</v>
      </c>
      <c r="B20" s="6" t="inlineStr">
        <is>
          <t>Married Filing Jointly</t>
        </is>
      </c>
      <c r="C20" s="7">
        <f>A20&amp;"|"&amp;B20</f>
        <v/>
      </c>
      <c r="D20" s="8" t="n">
        <v>0</v>
      </c>
      <c r="E20" s="9" t="n">
        <v>0</v>
      </c>
      <c r="F20" s="10">
        <f>H20</f>
        <v/>
      </c>
      <c r="G20" s="8" t="n">
        <v>0.15</v>
      </c>
      <c r="H20" s="9" t="n">
        <v>94050</v>
      </c>
      <c r="I20" s="10">
        <f>K20</f>
        <v/>
      </c>
      <c r="J20" s="8" t="n">
        <v>0.2</v>
      </c>
      <c r="K20" s="9" t="n">
        <v>583750</v>
      </c>
      <c r="L20" s="10" t="n">
        <v>999999999</v>
      </c>
    </row>
    <row r="21">
      <c r="A21" s="6" t="n">
        <v>2024</v>
      </c>
      <c r="B21" s="6" t="inlineStr">
        <is>
          <t>Married Filing Separately</t>
        </is>
      </c>
      <c r="C21" s="7">
        <f>A21&amp;"|"&amp;B21</f>
        <v/>
      </c>
      <c r="D21" s="8" t="n">
        <v>0</v>
      </c>
      <c r="E21" s="9" t="n">
        <v>0</v>
      </c>
      <c r="F21" s="10">
        <f>H21</f>
        <v/>
      </c>
      <c r="G21" s="8" t="n">
        <v>0.15</v>
      </c>
      <c r="H21" s="9" t="n">
        <v>47025</v>
      </c>
      <c r="I21" s="10">
        <f>K21</f>
        <v/>
      </c>
      <c r="J21" s="8" t="n">
        <v>0.2</v>
      </c>
      <c r="K21" s="9" t="n">
        <v>291850</v>
      </c>
      <c r="L21" s="10" t="n">
        <v>999999999</v>
      </c>
    </row>
    <row r="22">
      <c r="A22" s="6" t="n">
        <v>2024</v>
      </c>
      <c r="B22" s="6" t="inlineStr">
        <is>
          <t>Head of Household</t>
        </is>
      </c>
      <c r="C22" s="7">
        <f>A22&amp;"|"&amp;B22</f>
        <v/>
      </c>
      <c r="D22" s="8" t="n">
        <v>0</v>
      </c>
      <c r="E22" s="9" t="n">
        <v>0</v>
      </c>
      <c r="F22" s="10">
        <f>H22</f>
        <v/>
      </c>
      <c r="G22" s="8" t="n">
        <v>0.15</v>
      </c>
      <c r="H22" s="9" t="n">
        <v>63000</v>
      </c>
      <c r="I22" s="10">
        <f>K22</f>
        <v/>
      </c>
      <c r="J22" s="8" t="n">
        <v>0.2</v>
      </c>
      <c r="K22" s="9" t="n">
        <v>551350</v>
      </c>
      <c r="L22" s="10" t="n">
        <v>999999999</v>
      </c>
    </row>
    <row r="23">
      <c r="A23" s="6" t="n">
        <v>2024</v>
      </c>
      <c r="B23" s="6" t="inlineStr">
        <is>
          <t>Qualifying Surviving Spouse</t>
        </is>
      </c>
      <c r="C23" s="7">
        <f>A23&amp;"|"&amp;B23</f>
        <v/>
      </c>
      <c r="D23" s="8" t="n">
        <v>0</v>
      </c>
      <c r="E23" s="9" t="n">
        <v>0</v>
      </c>
      <c r="F23" s="10">
        <f>H23</f>
        <v/>
      </c>
      <c r="G23" s="8" t="n">
        <v>0.15</v>
      </c>
      <c r="H23" s="9" t="n">
        <v>94050</v>
      </c>
      <c r="I23" s="10">
        <f>K23</f>
        <v/>
      </c>
      <c r="J23" s="8" t="n">
        <v>0.2</v>
      </c>
      <c r="K23" s="9" t="n">
        <v>583750</v>
      </c>
      <c r="L23" s="10" t="n">
        <v>999999999</v>
      </c>
    </row>
    <row r="24">
      <c r="A24" s="6" t="n">
        <v>2025</v>
      </c>
      <c r="B24" s="6" t="inlineStr">
        <is>
          <t>Single</t>
        </is>
      </c>
      <c r="C24" s="7">
        <f>A24&amp;"|"&amp;B24</f>
        <v/>
      </c>
      <c r="D24" s="8" t="n">
        <v>0</v>
      </c>
      <c r="E24" s="9" t="n">
        <v>0</v>
      </c>
      <c r="F24" s="10">
        <f>H24</f>
        <v/>
      </c>
      <c r="G24" s="8" t="n">
        <v>0.15</v>
      </c>
      <c r="H24" s="9" t="n">
        <v>48350</v>
      </c>
      <c r="I24" s="10">
        <f>K24</f>
        <v/>
      </c>
      <c r="J24" s="8" t="n">
        <v>0.2</v>
      </c>
      <c r="K24" s="9" t="n">
        <v>533400</v>
      </c>
      <c r="L24" s="10" t="n">
        <v>999999999</v>
      </c>
    </row>
    <row r="25">
      <c r="A25" s="6" t="n">
        <v>2025</v>
      </c>
      <c r="B25" s="6" t="inlineStr">
        <is>
          <t>Married Filing Jointly</t>
        </is>
      </c>
      <c r="C25" s="7">
        <f>A25&amp;"|"&amp;B25</f>
        <v/>
      </c>
      <c r="D25" s="8" t="n">
        <v>0</v>
      </c>
      <c r="E25" s="9" t="n">
        <v>0</v>
      </c>
      <c r="F25" s="10">
        <f>H25</f>
        <v/>
      </c>
      <c r="G25" s="8" t="n">
        <v>0.15</v>
      </c>
      <c r="H25" s="9" t="n">
        <v>96700</v>
      </c>
      <c r="I25" s="10">
        <f>K25</f>
        <v/>
      </c>
      <c r="J25" s="8" t="n">
        <v>0.2</v>
      </c>
      <c r="K25" s="9" t="n">
        <v>600050</v>
      </c>
      <c r="L25" s="10" t="n">
        <v>999999999</v>
      </c>
    </row>
    <row r="26">
      <c r="A26" s="6" t="n">
        <v>2025</v>
      </c>
      <c r="B26" s="6" t="inlineStr">
        <is>
          <t>Married Filing Separately</t>
        </is>
      </c>
      <c r="C26" s="7">
        <f>A26&amp;"|"&amp;B26</f>
        <v/>
      </c>
      <c r="D26" s="8" t="n">
        <v>0</v>
      </c>
      <c r="E26" s="9" t="n">
        <v>0</v>
      </c>
      <c r="F26" s="10">
        <f>H26</f>
        <v/>
      </c>
      <c r="G26" s="8" t="n">
        <v>0.15</v>
      </c>
      <c r="H26" s="9" t="n">
        <v>48350</v>
      </c>
      <c r="I26" s="10">
        <f>K26</f>
        <v/>
      </c>
      <c r="J26" s="8" t="n">
        <v>0.2</v>
      </c>
      <c r="K26" s="9" t="n">
        <v>300000</v>
      </c>
      <c r="L26" s="10" t="n">
        <v>999999999</v>
      </c>
    </row>
    <row r="27">
      <c r="A27" s="6" t="n">
        <v>2025</v>
      </c>
      <c r="B27" s="6" t="inlineStr">
        <is>
          <t>Head of Household</t>
        </is>
      </c>
      <c r="C27" s="7">
        <f>A27&amp;"|"&amp;B27</f>
        <v/>
      </c>
      <c r="D27" s="8" t="n">
        <v>0</v>
      </c>
      <c r="E27" s="9" t="n">
        <v>0</v>
      </c>
      <c r="F27" s="10">
        <f>H27</f>
        <v/>
      </c>
      <c r="G27" s="8" t="n">
        <v>0.15</v>
      </c>
      <c r="H27" s="9" t="n">
        <v>64750</v>
      </c>
      <c r="I27" s="10">
        <f>K27</f>
        <v/>
      </c>
      <c r="J27" s="8" t="n">
        <v>0.2</v>
      </c>
      <c r="K27" s="9" t="n">
        <v>566700</v>
      </c>
      <c r="L27" s="10" t="n">
        <v>999999999</v>
      </c>
    </row>
    <row r="28">
      <c r="A28" s="6" t="n">
        <v>2025</v>
      </c>
      <c r="B28" s="6" t="inlineStr">
        <is>
          <t>Qualifying Surviving Spouse</t>
        </is>
      </c>
      <c r="C28" s="7">
        <f>A28&amp;"|"&amp;B28</f>
        <v/>
      </c>
      <c r="D28" s="8" t="n">
        <v>0</v>
      </c>
      <c r="E28" s="9" t="n">
        <v>0</v>
      </c>
      <c r="F28" s="10">
        <f>H28</f>
        <v/>
      </c>
      <c r="G28" s="8" t="n">
        <v>0.15</v>
      </c>
      <c r="H28" s="9" t="n">
        <v>96700</v>
      </c>
      <c r="I28" s="10">
        <f>K28</f>
        <v/>
      </c>
      <c r="J28" s="8" t="n">
        <v>0.2</v>
      </c>
      <c r="K28" s="9" t="n">
        <v>600050</v>
      </c>
      <c r="L28" s="10" t="n">
        <v>999999999</v>
      </c>
    </row>
    <row r="30" ht="18" customHeight="1">
      <c r="A30" s="3" t="inlineStr">
        <is>
          <t>Standard Deduction</t>
        </is>
      </c>
    </row>
    <row r="31">
      <c r="A31" s="5" t="inlineStr">
        <is>
          <t>Year</t>
        </is>
      </c>
      <c r="B31" s="5" t="inlineStr">
        <is>
          <t>Filing Status</t>
        </is>
      </c>
      <c r="C31" s="5" t="inlineStr">
        <is>
          <t>Key</t>
        </is>
      </c>
      <c r="D31" s="5" t="inlineStr">
        <is>
          <t>Standard Deduction</t>
        </is>
      </c>
    </row>
    <row r="32">
      <c r="A32" s="11" t="n">
        <v>2024</v>
      </c>
      <c r="B32" s="12" t="inlineStr">
        <is>
          <t>Single</t>
        </is>
      </c>
      <c r="C32" s="7">
        <f>A32&amp;"|"&amp;B32</f>
        <v/>
      </c>
      <c r="D32" s="13" t="n">
        <v>14600</v>
      </c>
    </row>
    <row r="33">
      <c r="A33" s="11" t="n">
        <v>2024</v>
      </c>
      <c r="B33" s="12" t="inlineStr">
        <is>
          <t>Married Filing Jointly</t>
        </is>
      </c>
      <c r="C33" s="7">
        <f>A33&amp;"|"&amp;B33</f>
        <v/>
      </c>
      <c r="D33" s="13" t="n">
        <v>29200</v>
      </c>
    </row>
    <row r="34">
      <c r="A34" s="11" t="n">
        <v>2024</v>
      </c>
      <c r="B34" s="12" t="inlineStr">
        <is>
          <t>Married Filing Separately</t>
        </is>
      </c>
      <c r="C34" s="7">
        <f>A34&amp;"|"&amp;B34</f>
        <v/>
      </c>
      <c r="D34" s="13" t="n">
        <v>14600</v>
      </c>
    </row>
    <row r="35">
      <c r="A35" s="11" t="n">
        <v>2024</v>
      </c>
      <c r="B35" s="12" t="inlineStr">
        <is>
          <t>Head of Household</t>
        </is>
      </c>
      <c r="C35" s="7">
        <f>A35&amp;"|"&amp;B35</f>
        <v/>
      </c>
      <c r="D35" s="13" t="n">
        <v>21900</v>
      </c>
    </row>
    <row r="36">
      <c r="A36" s="11" t="n">
        <v>2024</v>
      </c>
      <c r="B36" s="12" t="inlineStr">
        <is>
          <t>Qualifying Surviving Spouse</t>
        </is>
      </c>
      <c r="C36" s="7">
        <f>A36&amp;"|"&amp;B36</f>
        <v/>
      </c>
      <c r="D36" s="13" t="n">
        <v>29200</v>
      </c>
    </row>
    <row r="37">
      <c r="A37" s="11" t="n">
        <v>2025</v>
      </c>
      <c r="B37" s="12" t="inlineStr">
        <is>
          <t>Single</t>
        </is>
      </c>
      <c r="C37" s="7">
        <f>A37&amp;"|"&amp;B37</f>
        <v/>
      </c>
      <c r="D37" s="13" t="n">
        <v>15000</v>
      </c>
    </row>
    <row r="38">
      <c r="A38" s="11" t="n">
        <v>2025</v>
      </c>
      <c r="B38" s="12" t="inlineStr">
        <is>
          <t>Married Filing Jointly</t>
        </is>
      </c>
      <c r="C38" s="7">
        <f>A38&amp;"|"&amp;B38</f>
        <v/>
      </c>
      <c r="D38" s="13" t="n">
        <v>30000</v>
      </c>
    </row>
    <row r="39">
      <c r="A39" s="11" t="n">
        <v>2025</v>
      </c>
      <c r="B39" s="12" t="inlineStr">
        <is>
          <t>Married Filing Separately</t>
        </is>
      </c>
      <c r="C39" s="7">
        <f>A39&amp;"|"&amp;B39</f>
        <v/>
      </c>
      <c r="D39" s="13" t="n">
        <v>15000</v>
      </c>
    </row>
    <row r="40">
      <c r="A40" s="11" t="n">
        <v>2025</v>
      </c>
      <c r="B40" s="12" t="inlineStr">
        <is>
          <t>Head of Household</t>
        </is>
      </c>
      <c r="C40" s="7">
        <f>A40&amp;"|"&amp;B40</f>
        <v/>
      </c>
      <c r="D40" s="13" t="n">
        <v>22500</v>
      </c>
    </row>
    <row r="41">
      <c r="A41" s="11" t="n">
        <v>2025</v>
      </c>
      <c r="B41" s="12" t="inlineStr">
        <is>
          <t>Qualifying Surviving Spouse</t>
        </is>
      </c>
      <c r="C41" s="7">
        <f>A41&amp;"|"&amp;B41</f>
        <v/>
      </c>
      <c r="D41" s="13" t="n">
        <v>30000</v>
      </c>
    </row>
    <row r="43" ht="18" customHeight="1">
      <c r="A43" s="3" t="inlineStr">
        <is>
          <t>NIIT, Additional Medicare Tax &amp; Capital-Loss Thresholds (fixed by statute)</t>
        </is>
      </c>
    </row>
    <row r="44">
      <c r="A44" s="5" t="inlineStr">
        <is>
          <t>Filing Status</t>
        </is>
      </c>
      <c r="B44" s="5" t="inlineStr">
        <is>
          <t>NIIT MAGI Threshold</t>
        </is>
      </c>
      <c r="C44" s="5" t="inlineStr">
        <is>
          <t>Addl. Medicare Threshold</t>
        </is>
      </c>
      <c r="D44" s="5" t="inlineStr">
        <is>
          <t>Capital Loss Limit vs. Ordinary Income</t>
        </is>
      </c>
    </row>
    <row r="45">
      <c r="A45" s="12" t="inlineStr">
        <is>
          <t>Single</t>
        </is>
      </c>
      <c r="B45" s="13" t="n">
        <v>200000</v>
      </c>
      <c r="C45" s="13" t="n">
        <v>200000</v>
      </c>
      <c r="D45" s="13" t="n">
        <v>3000</v>
      </c>
    </row>
    <row r="46">
      <c r="A46" s="12" t="inlineStr">
        <is>
          <t>Married Filing Jointly</t>
        </is>
      </c>
      <c r="B46" s="13" t="n">
        <v>250000</v>
      </c>
      <c r="C46" s="13" t="n">
        <v>250000</v>
      </c>
      <c r="D46" s="13" t="n">
        <v>3000</v>
      </c>
    </row>
    <row r="47">
      <c r="A47" s="12" t="inlineStr">
        <is>
          <t>Married Filing Separately</t>
        </is>
      </c>
      <c r="B47" s="13" t="n">
        <v>125000</v>
      </c>
      <c r="C47" s="13" t="n">
        <v>125000</v>
      </c>
      <c r="D47" s="13" t="n">
        <v>1500</v>
      </c>
    </row>
    <row r="48">
      <c r="A48" s="12" t="inlineStr">
        <is>
          <t>Head of Household</t>
        </is>
      </c>
      <c r="B48" s="13" t="n">
        <v>200000</v>
      </c>
      <c r="C48" s="13" t="n">
        <v>200000</v>
      </c>
      <c r="D48" s="13" t="n">
        <v>3000</v>
      </c>
    </row>
    <row r="49">
      <c r="A49" s="12" t="inlineStr">
        <is>
          <t>Qualifying Surviving Spouse</t>
        </is>
      </c>
      <c r="B49" s="13" t="n">
        <v>250000</v>
      </c>
      <c r="C49" s="13" t="n">
        <v>250000</v>
      </c>
      <c r="D49" s="13" t="n">
        <v>3000</v>
      </c>
    </row>
    <row r="51" ht="18" customHeight="1">
      <c r="A51" s="3" t="inlineStr">
        <is>
          <t>SALT (State &amp; Local Tax) Itemized Deduction Cap</t>
        </is>
      </c>
    </row>
    <row r="52">
      <c r="A52" s="5" t="inlineStr">
        <is>
          <t>Year</t>
        </is>
      </c>
      <c r="B52" s="5" t="inlineStr">
        <is>
          <t>Filing Status</t>
        </is>
      </c>
      <c r="C52" s="5" t="inlineStr">
        <is>
          <t>Key</t>
        </is>
      </c>
      <c r="D52" s="5" t="inlineStr">
        <is>
          <t>SALT Cap</t>
        </is>
      </c>
    </row>
    <row r="53">
      <c r="A53" s="11" t="n">
        <v>2024</v>
      </c>
      <c r="B53" s="12" t="inlineStr">
        <is>
          <t>Single</t>
        </is>
      </c>
      <c r="C53" s="7">
        <f>A53&amp;"|"&amp;B53</f>
        <v/>
      </c>
      <c r="D53" s="13" t="n">
        <v>10000</v>
      </c>
    </row>
    <row r="54">
      <c r="A54" s="11" t="n">
        <v>2024</v>
      </c>
      <c r="B54" s="12" t="inlineStr">
        <is>
          <t>Married Filing Jointly</t>
        </is>
      </c>
      <c r="C54" s="7">
        <f>A54&amp;"|"&amp;B54</f>
        <v/>
      </c>
      <c r="D54" s="13" t="n">
        <v>10000</v>
      </c>
    </row>
    <row r="55">
      <c r="A55" s="11" t="n">
        <v>2024</v>
      </c>
      <c r="B55" s="12" t="inlineStr">
        <is>
          <t>Married Filing Separately</t>
        </is>
      </c>
      <c r="C55" s="7">
        <f>A55&amp;"|"&amp;B55</f>
        <v/>
      </c>
      <c r="D55" s="13" t="n">
        <v>5000</v>
      </c>
    </row>
    <row r="56">
      <c r="A56" s="11" t="n">
        <v>2024</v>
      </c>
      <c r="B56" s="12" t="inlineStr">
        <is>
          <t>Head of Household</t>
        </is>
      </c>
      <c r="C56" s="7">
        <f>A56&amp;"|"&amp;B56</f>
        <v/>
      </c>
      <c r="D56" s="13" t="n">
        <v>10000</v>
      </c>
    </row>
    <row r="57">
      <c r="A57" s="11" t="n">
        <v>2024</v>
      </c>
      <c r="B57" s="12" t="inlineStr">
        <is>
          <t>Qualifying Surviving Spouse</t>
        </is>
      </c>
      <c r="C57" s="7">
        <f>A57&amp;"|"&amp;B57</f>
        <v/>
      </c>
      <c r="D57" s="13" t="n">
        <v>10000</v>
      </c>
    </row>
    <row r="58">
      <c r="A58" s="11" t="n">
        <v>2025</v>
      </c>
      <c r="B58" s="12" t="inlineStr">
        <is>
          <t>Single</t>
        </is>
      </c>
      <c r="C58" s="7">
        <f>A58&amp;"|"&amp;B58</f>
        <v/>
      </c>
      <c r="D58" s="13" t="n">
        <v>40000</v>
      </c>
    </row>
    <row r="59">
      <c r="A59" s="11" t="n">
        <v>2025</v>
      </c>
      <c r="B59" s="12" t="inlineStr">
        <is>
          <t>Married Filing Jointly</t>
        </is>
      </c>
      <c r="C59" s="7">
        <f>A59&amp;"|"&amp;B59</f>
        <v/>
      </c>
      <c r="D59" s="13" t="n">
        <v>40000</v>
      </c>
    </row>
    <row r="60">
      <c r="A60" s="11" t="n">
        <v>2025</v>
      </c>
      <c r="B60" s="12" t="inlineStr">
        <is>
          <t>Married Filing Separately</t>
        </is>
      </c>
      <c r="C60" s="7">
        <f>A60&amp;"|"&amp;B60</f>
        <v/>
      </c>
      <c r="D60" s="13" t="n">
        <v>20000</v>
      </c>
    </row>
    <row r="61">
      <c r="A61" s="11" t="n">
        <v>2025</v>
      </c>
      <c r="B61" s="12" t="inlineStr">
        <is>
          <t>Head of Household</t>
        </is>
      </c>
      <c r="C61" s="7">
        <f>A61&amp;"|"&amp;B61</f>
        <v/>
      </c>
      <c r="D61" s="13" t="n">
        <v>40000</v>
      </c>
    </row>
    <row r="62">
      <c r="A62" s="11" t="n">
        <v>2025</v>
      </c>
      <c r="B62" s="12" t="inlineStr">
        <is>
          <t>Qualifying Surviving Spouse</t>
        </is>
      </c>
      <c r="C62" s="7">
        <f>A62&amp;"|"&amp;B62</f>
        <v/>
      </c>
      <c r="D62" s="13" t="n">
        <v>40000</v>
      </c>
    </row>
    <row r="64" ht="18" customHeight="1">
      <c r="A64" s="3" t="inlineStr">
        <is>
          <t>Payroll (FICA) &amp; Self-Employment Tax Parameters</t>
        </is>
      </c>
    </row>
    <row r="65">
      <c r="A65" s="5" t="inlineStr">
        <is>
          <t>Year</t>
        </is>
      </c>
      <c r="B65" s="5" t="inlineStr">
        <is>
          <t>SS Wage Base</t>
        </is>
      </c>
      <c r="C65" s="5" t="inlineStr">
        <is>
          <t>SS Rate (EE)</t>
        </is>
      </c>
      <c r="D65" s="5" t="inlineStr">
        <is>
          <t>SS Rate (SE)</t>
        </is>
      </c>
      <c r="E65" s="5" t="inlineStr">
        <is>
          <t>Medicare Rate (EE)</t>
        </is>
      </c>
      <c r="F65" s="5" t="inlineStr">
        <is>
          <t>Medicare Rate (SE)</t>
        </is>
      </c>
      <c r="G65" s="5" t="inlineStr">
        <is>
          <t>SE Net Earnings Factor</t>
        </is>
      </c>
      <c r="H65" s="5" t="inlineStr">
        <is>
          <t>NIIT Rate</t>
        </is>
      </c>
      <c r="I65" s="5" t="inlineStr">
        <is>
          <t>Addl. Medicare Rate</t>
        </is>
      </c>
    </row>
    <row r="66">
      <c r="A66" s="11" t="n">
        <v>2024</v>
      </c>
      <c r="B66" s="13" t="n">
        <v>168600</v>
      </c>
      <c r="C66" s="14" t="n">
        <v>0.062</v>
      </c>
      <c r="D66" s="14" t="n">
        <v>0.124</v>
      </c>
      <c r="E66" s="14" t="n">
        <v>0.0145</v>
      </c>
      <c r="F66" s="14" t="n">
        <v>0.029</v>
      </c>
      <c r="G66" s="14" t="n">
        <v>0.9235</v>
      </c>
      <c r="H66" s="14" t="n">
        <v>0.038</v>
      </c>
      <c r="I66" s="14" t="n">
        <v>0.008999999999999999</v>
      </c>
    </row>
    <row r="67">
      <c r="A67" s="11" t="n">
        <v>2025</v>
      </c>
      <c r="B67" s="13" t="n">
        <v>176100</v>
      </c>
      <c r="C67" s="14" t="n">
        <v>0.062</v>
      </c>
      <c r="D67" s="14" t="n">
        <v>0.124</v>
      </c>
      <c r="E67" s="14" t="n">
        <v>0.0145</v>
      </c>
      <c r="F67" s="14" t="n">
        <v>0.029</v>
      </c>
      <c r="G67" s="14" t="n">
        <v>0.9235</v>
      </c>
      <c r="H67" s="14" t="n">
        <v>0.038</v>
      </c>
      <c r="I67" s="14" t="n">
        <v>0.008999999999999999</v>
      </c>
    </row>
    <row r="69" ht="18" customHeight="1">
      <c r="A69" s="3" t="inlineStr">
        <is>
          <t>State Master List &amp; Income Treatment</t>
        </is>
      </c>
    </row>
    <row r="70">
      <c r="A70" s="5" t="inlineStr">
        <is>
          <t>State Code</t>
        </is>
      </c>
      <c r="B70" s="5" t="inlineStr">
        <is>
          <t>State Name</t>
        </is>
      </c>
      <c r="C70" s="5" t="inlineStr">
        <is>
          <t>Tax Type</t>
        </is>
      </c>
      <c r="D70" s="5" t="inlineStr">
        <is>
          <t>Social Security Taxable?</t>
        </is>
      </c>
      <c r="E70" s="5" t="inlineStr">
        <is>
          <t>Retirement Income (Pension/401k/IRA) Exempt?</t>
        </is>
      </c>
      <c r="F70" s="5" t="inlineStr">
        <is>
          <t>Std. Deduction (Single)</t>
        </is>
      </c>
      <c r="G70" s="5" t="inlineStr">
        <is>
          <t>Std. Deduction (MFJ)</t>
        </is>
      </c>
      <c r="H70" s="5" t="inlineStr">
        <is>
          <t>Notes / Simplifications</t>
        </is>
      </c>
    </row>
    <row r="71">
      <c r="A71" s="12" t="inlineStr">
        <is>
          <t>FL</t>
        </is>
      </c>
      <c r="B71" s="12" t="inlineStr">
        <is>
          <t>Florida</t>
        </is>
      </c>
      <c r="C71" s="12" t="inlineStr">
        <is>
          <t>None</t>
        </is>
      </c>
      <c r="D71" s="12" t="inlineStr">
        <is>
          <t>No</t>
        </is>
      </c>
      <c r="E71" s="12" t="inlineStr">
        <is>
          <t>Yes</t>
        </is>
      </c>
      <c r="F71" s="13" t="n">
        <v>0</v>
      </c>
      <c r="G71" s="13" t="n">
        <v>0</v>
      </c>
      <c r="H71" s="15" t="inlineStr">
        <is>
          <t>No state income tax.</t>
        </is>
      </c>
    </row>
    <row r="72">
      <c r="A72" s="12" t="inlineStr">
        <is>
          <t>TX</t>
        </is>
      </c>
      <c r="B72" s="12" t="inlineStr">
        <is>
          <t>Texas</t>
        </is>
      </c>
      <c r="C72" s="12" t="inlineStr">
        <is>
          <t>None</t>
        </is>
      </c>
      <c r="D72" s="12" t="inlineStr">
        <is>
          <t>No</t>
        </is>
      </c>
      <c r="E72" s="12" t="inlineStr">
        <is>
          <t>Yes</t>
        </is>
      </c>
      <c r="F72" s="13" t="n">
        <v>0</v>
      </c>
      <c r="G72" s="13" t="n">
        <v>0</v>
      </c>
      <c r="H72" s="15" t="inlineStr">
        <is>
          <t>No state income tax.</t>
        </is>
      </c>
    </row>
    <row r="73">
      <c r="A73" s="12" t="inlineStr">
        <is>
          <t>WA</t>
        </is>
      </c>
      <c r="B73" s="12" t="inlineStr">
        <is>
          <t>Washington</t>
        </is>
      </c>
      <c r="C73" s="12" t="inlineStr">
        <is>
          <t>None</t>
        </is>
      </c>
      <c r="D73" s="12" t="inlineStr">
        <is>
          <t>No</t>
        </is>
      </c>
      <c r="E73" s="12" t="inlineStr">
        <is>
          <t>Yes</t>
        </is>
      </c>
      <c r="F73" s="13" t="n">
        <v>0</v>
      </c>
      <c r="G73" s="13" t="n">
        <v>0</v>
      </c>
      <c r="H73" s="15" t="inlineStr">
        <is>
          <t>No state income tax (capital gains excise tax on high earners not modeled).</t>
        </is>
      </c>
    </row>
    <row r="74">
      <c r="A74" s="12" t="inlineStr">
        <is>
          <t>NV</t>
        </is>
      </c>
      <c r="B74" s="12" t="inlineStr">
        <is>
          <t>Nevada</t>
        </is>
      </c>
      <c r="C74" s="12" t="inlineStr">
        <is>
          <t>None</t>
        </is>
      </c>
      <c r="D74" s="12" t="inlineStr">
        <is>
          <t>No</t>
        </is>
      </c>
      <c r="E74" s="12" t="inlineStr">
        <is>
          <t>Yes</t>
        </is>
      </c>
      <c r="F74" s="13" t="n">
        <v>0</v>
      </c>
      <c r="G74" s="13" t="n">
        <v>0</v>
      </c>
      <c r="H74" s="15" t="inlineStr">
        <is>
          <t>No state income tax.</t>
        </is>
      </c>
    </row>
    <row r="75">
      <c r="A75" s="12" t="inlineStr">
        <is>
          <t>WY</t>
        </is>
      </c>
      <c r="B75" s="12" t="inlineStr">
        <is>
          <t>Wyoming</t>
        </is>
      </c>
      <c r="C75" s="12" t="inlineStr">
        <is>
          <t>None</t>
        </is>
      </c>
      <c r="D75" s="12" t="inlineStr">
        <is>
          <t>No</t>
        </is>
      </c>
      <c r="E75" s="12" t="inlineStr">
        <is>
          <t>Yes</t>
        </is>
      </c>
      <c r="F75" s="13" t="n">
        <v>0</v>
      </c>
      <c r="G75" s="13" t="n">
        <v>0</v>
      </c>
      <c r="H75" s="15" t="inlineStr">
        <is>
          <t>No state income tax.</t>
        </is>
      </c>
    </row>
    <row r="76">
      <c r="A76" s="12" t="inlineStr">
        <is>
          <t>SD</t>
        </is>
      </c>
      <c r="B76" s="12" t="inlineStr">
        <is>
          <t>South Dakota</t>
        </is>
      </c>
      <c r="C76" s="12" t="inlineStr">
        <is>
          <t>None</t>
        </is>
      </c>
      <c r="D76" s="12" t="inlineStr">
        <is>
          <t>No</t>
        </is>
      </c>
      <c r="E76" s="12" t="inlineStr">
        <is>
          <t>Yes</t>
        </is>
      </c>
      <c r="F76" s="13" t="n">
        <v>0</v>
      </c>
      <c r="G76" s="13" t="n">
        <v>0</v>
      </c>
      <c r="H76" s="15" t="inlineStr">
        <is>
          <t>No state income tax.</t>
        </is>
      </c>
    </row>
    <row r="77">
      <c r="A77" s="12" t="inlineStr">
        <is>
          <t>AK</t>
        </is>
      </c>
      <c r="B77" s="12" t="inlineStr">
        <is>
          <t>Alaska</t>
        </is>
      </c>
      <c r="C77" s="12" t="inlineStr">
        <is>
          <t>None</t>
        </is>
      </c>
      <c r="D77" s="12" t="inlineStr">
        <is>
          <t>No</t>
        </is>
      </c>
      <c r="E77" s="12" t="inlineStr">
        <is>
          <t>Yes</t>
        </is>
      </c>
      <c r="F77" s="13" t="n">
        <v>0</v>
      </c>
      <c r="G77" s="13" t="n">
        <v>0</v>
      </c>
      <c r="H77" s="15" t="inlineStr">
        <is>
          <t>No state income tax.</t>
        </is>
      </c>
    </row>
    <row r="78">
      <c r="A78" s="12" t="inlineStr">
        <is>
          <t>TN</t>
        </is>
      </c>
      <c r="B78" s="12" t="inlineStr">
        <is>
          <t>Tennessee</t>
        </is>
      </c>
      <c r="C78" s="12" t="inlineStr">
        <is>
          <t>None</t>
        </is>
      </c>
      <c r="D78" s="12" t="inlineStr">
        <is>
          <t>No</t>
        </is>
      </c>
      <c r="E78" s="12" t="inlineStr">
        <is>
          <t>Yes</t>
        </is>
      </c>
      <c r="F78" s="13" t="n">
        <v>0</v>
      </c>
      <c r="G78" s="13" t="n">
        <v>0</v>
      </c>
      <c r="H78" s="15" t="inlineStr">
        <is>
          <t>No state income tax.</t>
        </is>
      </c>
    </row>
    <row r="79">
      <c r="A79" s="12" t="inlineStr">
        <is>
          <t>CO</t>
        </is>
      </c>
      <c r="B79" s="12" t="inlineStr">
        <is>
          <t>Colorado</t>
        </is>
      </c>
      <c r="C79" s="12" t="inlineStr">
        <is>
          <t>Flat</t>
        </is>
      </c>
      <c r="D79" s="12" t="inlineStr">
        <is>
          <t>No</t>
        </is>
      </c>
      <c r="E79" s="12" t="inlineStr">
        <is>
          <t>No</t>
        </is>
      </c>
      <c r="F79" s="13" t="n">
        <v>0</v>
      </c>
      <c r="G79" s="13" t="n">
        <v>0</v>
      </c>
      <c r="H79" s="15" t="inlineStr">
        <is>
          <t>Flat rate; SS generally subtracted.</t>
        </is>
      </c>
    </row>
    <row r="80">
      <c r="A80" s="12" t="inlineStr">
        <is>
          <t>IL</t>
        </is>
      </c>
      <c r="B80" s="12" t="inlineStr">
        <is>
          <t>Illinois</t>
        </is>
      </c>
      <c r="C80" s="12" t="inlineStr">
        <is>
          <t>Flat</t>
        </is>
      </c>
      <c r="D80" s="12" t="inlineStr">
        <is>
          <t>No</t>
        </is>
      </c>
      <c r="E80" s="12" t="inlineStr">
        <is>
          <t>Yes</t>
        </is>
      </c>
      <c r="F80" s="13" t="n">
        <v>0</v>
      </c>
      <c r="G80" s="13" t="n">
        <v>0</v>
      </c>
      <c r="H80" s="15" t="inlineStr">
        <is>
          <t>Flat rate; retirement income generally exempt; SS exempt.</t>
        </is>
      </c>
    </row>
    <row r="81">
      <c r="A81" s="12" t="inlineStr">
        <is>
          <t>IN</t>
        </is>
      </c>
      <c r="B81" s="12" t="inlineStr">
        <is>
          <t>Indiana</t>
        </is>
      </c>
      <c r="C81" s="12" t="inlineStr">
        <is>
          <t>Flat</t>
        </is>
      </c>
      <c r="D81" s="12" t="inlineStr">
        <is>
          <t>No</t>
        </is>
      </c>
      <c r="E81" s="12" t="inlineStr">
        <is>
          <t>No</t>
        </is>
      </c>
      <c r="F81" s="13" t="n">
        <v>0</v>
      </c>
      <c r="G81" s="13" t="n">
        <v>0</v>
      </c>
      <c r="H81" s="15" t="inlineStr">
        <is>
          <t>Flat rate.</t>
        </is>
      </c>
    </row>
    <row r="82">
      <c r="A82" s="12" t="inlineStr">
        <is>
          <t>MI</t>
        </is>
      </c>
      <c r="B82" s="12" t="inlineStr">
        <is>
          <t>Michigan</t>
        </is>
      </c>
      <c r="C82" s="12" t="inlineStr">
        <is>
          <t>Flat</t>
        </is>
      </c>
      <c r="D82" s="12" t="inlineStr">
        <is>
          <t>No</t>
        </is>
      </c>
      <c r="E82" s="12" t="inlineStr">
        <is>
          <t>Yes</t>
        </is>
      </c>
      <c r="F82" s="13" t="n">
        <v>0</v>
      </c>
      <c r="G82" s="13" t="n">
        <v>0</v>
      </c>
      <c r="H82" s="15" t="inlineStr">
        <is>
          <t>Flat rate; retirement income partially/fully exempt depending on birth year (simplified: exempt).</t>
        </is>
      </c>
    </row>
    <row r="83">
      <c r="A83" s="12" t="inlineStr">
        <is>
          <t>NC</t>
        </is>
      </c>
      <c r="B83" s="12" t="inlineStr">
        <is>
          <t>North Carolina</t>
        </is>
      </c>
      <c r="C83" s="12" t="inlineStr">
        <is>
          <t>Flat</t>
        </is>
      </c>
      <c r="D83" s="12" t="inlineStr">
        <is>
          <t>No</t>
        </is>
      </c>
      <c r="E83" s="12" t="inlineStr">
        <is>
          <t>No</t>
        </is>
      </c>
      <c r="F83" s="13" t="n">
        <v>12750</v>
      </c>
      <c r="G83" s="13" t="n">
        <v>25500</v>
      </c>
      <c r="H83" s="15" t="inlineStr">
        <is>
          <t>Flat rate.</t>
        </is>
      </c>
    </row>
    <row r="84">
      <c r="A84" s="12" t="inlineStr">
        <is>
          <t>PA</t>
        </is>
      </c>
      <c r="B84" s="12" t="inlineStr">
        <is>
          <t>Pennsylvania</t>
        </is>
      </c>
      <c r="C84" s="12" t="inlineStr">
        <is>
          <t>Flat</t>
        </is>
      </c>
      <c r="D84" s="12" t="inlineStr">
        <is>
          <t>No</t>
        </is>
      </c>
      <c r="E84" s="12" t="inlineStr">
        <is>
          <t>Yes</t>
        </is>
      </c>
      <c r="F84" s="13" t="n">
        <v>0</v>
      </c>
      <c r="G84" s="13" t="n">
        <v>0</v>
      </c>
      <c r="H84" s="15" t="inlineStr">
        <is>
          <t>Flat rate; retirement income and SS generally exempt.</t>
        </is>
      </c>
    </row>
    <row r="85">
      <c r="A85" s="12" t="inlineStr">
        <is>
          <t>UT</t>
        </is>
      </c>
      <c r="B85" s="12" t="inlineStr">
        <is>
          <t>Utah</t>
        </is>
      </c>
      <c r="C85" s="12" t="inlineStr">
        <is>
          <t>Flat</t>
        </is>
      </c>
      <c r="D85" s="12" t="inlineStr">
        <is>
          <t>Yes</t>
        </is>
      </c>
      <c r="E85" s="12" t="inlineStr">
        <is>
          <t>No</t>
        </is>
      </c>
      <c r="F85" s="13" t="n">
        <v>0</v>
      </c>
      <c r="G85" s="13" t="n">
        <v>0</v>
      </c>
      <c r="H85" s="15" t="inlineStr">
        <is>
          <t>Flat rate; SS partially taxable (simplified: taxable), credit not modeled.</t>
        </is>
      </c>
    </row>
    <row r="86">
      <c r="A86" s="12" t="inlineStr">
        <is>
          <t>KY</t>
        </is>
      </c>
      <c r="B86" s="12" t="inlineStr">
        <is>
          <t>Kentucky</t>
        </is>
      </c>
      <c r="C86" s="12" t="inlineStr">
        <is>
          <t>Flat</t>
        </is>
      </c>
      <c r="D86" s="12" t="inlineStr">
        <is>
          <t>No</t>
        </is>
      </c>
      <c r="E86" s="12" t="inlineStr">
        <is>
          <t>No</t>
        </is>
      </c>
      <c r="F86" s="13" t="n">
        <v>3160</v>
      </c>
      <c r="G86" s="13" t="n">
        <v>3160</v>
      </c>
      <c r="H86" s="15" t="inlineStr">
        <is>
          <t>Flat rate; SS exempt; pension exclusion not modeled.</t>
        </is>
      </c>
    </row>
    <row r="87">
      <c r="A87" s="12" t="inlineStr">
        <is>
          <t>AZ</t>
        </is>
      </c>
      <c r="B87" s="12" t="inlineStr">
        <is>
          <t>Arizona</t>
        </is>
      </c>
      <c r="C87" s="12" t="inlineStr">
        <is>
          <t>Flat</t>
        </is>
      </c>
      <c r="D87" s="12" t="inlineStr">
        <is>
          <t>No</t>
        </is>
      </c>
      <c r="E87" s="12" t="inlineStr">
        <is>
          <t>No</t>
        </is>
      </c>
      <c r="F87" s="13" t="n">
        <v>14600</v>
      </c>
      <c r="G87" s="13" t="n">
        <v>29200</v>
      </c>
      <c r="H87" s="15" t="inlineStr">
        <is>
          <t>Flat rate; SS exempt.</t>
        </is>
      </c>
    </row>
    <row r="88">
      <c r="A88" s="12" t="inlineStr">
        <is>
          <t>GA</t>
        </is>
      </c>
      <c r="B88" s="12" t="inlineStr">
        <is>
          <t>Georgia</t>
        </is>
      </c>
      <c r="C88" s="12" t="inlineStr">
        <is>
          <t>Flat</t>
        </is>
      </c>
      <c r="D88" s="12" t="inlineStr">
        <is>
          <t>No</t>
        </is>
      </c>
      <c r="E88" s="12" t="inlineStr">
        <is>
          <t>No</t>
        </is>
      </c>
      <c r="F88" s="13" t="n">
        <v>12000</v>
      </c>
      <c r="G88" s="13" t="n">
        <v>24000</v>
      </c>
      <c r="H88" s="15" t="inlineStr">
        <is>
          <t>Flat rate (transitioning); retirement exclusion for 62+ not modeled.</t>
        </is>
      </c>
    </row>
    <row r="89">
      <c r="A89" s="12" t="inlineStr">
        <is>
          <t>MA</t>
        </is>
      </c>
      <c r="B89" s="12" t="inlineStr">
        <is>
          <t>Massachusetts</t>
        </is>
      </c>
      <c r="C89" s="12" t="inlineStr">
        <is>
          <t>Flat+Surtax</t>
        </is>
      </c>
      <c r="D89" s="12" t="inlineStr">
        <is>
          <t>No</t>
        </is>
      </c>
      <c r="E89" s="12" t="inlineStr">
        <is>
          <t>No</t>
        </is>
      </c>
      <c r="F89" s="13" t="n">
        <v>0</v>
      </c>
      <c r="G89" s="13" t="n">
        <v>0</v>
      </c>
      <c r="H89" s="15" t="inlineStr">
        <is>
          <t>Flat 5% + 4% surtax over $1,000,000 (millionaire's tax); SS exempt.</t>
        </is>
      </c>
    </row>
    <row r="90">
      <c r="A90" s="12" t="inlineStr">
        <is>
          <t>CA</t>
        </is>
      </c>
      <c r="B90" s="12" t="inlineStr">
        <is>
          <t>California</t>
        </is>
      </c>
      <c r="C90" s="12" t="inlineStr">
        <is>
          <t>Progressive</t>
        </is>
      </c>
      <c r="D90" s="12" t="inlineStr">
        <is>
          <t>No</t>
        </is>
      </c>
      <c r="E90" s="12" t="inlineStr">
        <is>
          <t>No</t>
        </is>
      </c>
      <c r="F90" s="13" t="n">
        <v>5540</v>
      </c>
      <c r="G90" s="13" t="n">
        <v>11080</v>
      </c>
      <c r="H90" s="15" t="inlineStr">
        <is>
          <t>Progressive; SS exempt; no preferential rate on capital gains.</t>
        </is>
      </c>
    </row>
    <row r="91">
      <c r="A91" s="12" t="inlineStr">
        <is>
          <t>NY</t>
        </is>
      </c>
      <c r="B91" s="12" t="inlineStr">
        <is>
          <t>New York</t>
        </is>
      </c>
      <c r="C91" s="12" t="inlineStr">
        <is>
          <t>Progressive</t>
        </is>
      </c>
      <c r="D91" s="12" t="inlineStr">
        <is>
          <t>No</t>
        </is>
      </c>
      <c r="E91" s="12" t="inlineStr">
        <is>
          <t>No</t>
        </is>
      </c>
      <c r="F91" s="13" t="n">
        <v>8000</v>
      </c>
      <c r="G91" s="13" t="n">
        <v>16050</v>
      </c>
      <c r="H91" s="15" t="inlineStr">
        <is>
          <t>Progressive; SS exempt; $20,000 pension exclusion not modeled.</t>
        </is>
      </c>
    </row>
    <row r="92">
      <c r="A92" s="12" t="inlineStr">
        <is>
          <t>NJ</t>
        </is>
      </c>
      <c r="B92" s="12" t="inlineStr">
        <is>
          <t>New Jersey</t>
        </is>
      </c>
      <c r="C92" s="12" t="inlineStr">
        <is>
          <t>Progressive</t>
        </is>
      </c>
      <c r="D92" s="12" t="inlineStr">
        <is>
          <t>No</t>
        </is>
      </c>
      <c r="E92" s="12" t="inlineStr">
        <is>
          <t>Yes</t>
        </is>
      </c>
      <c r="F92" s="13" t="n">
        <v>0</v>
      </c>
      <c r="G92" s="13" t="n">
        <v>0</v>
      </c>
      <c r="H92" s="15" t="inlineStr">
        <is>
          <t>Progressive; SS exempt; retirement income exclusion (simplified: exempt).</t>
        </is>
      </c>
    </row>
    <row r="93">
      <c r="A93" s="12" t="inlineStr">
        <is>
          <t>OR</t>
        </is>
      </c>
      <c r="B93" s="12" t="inlineStr">
        <is>
          <t>Oregon</t>
        </is>
      </c>
      <c r="C93" s="12" t="inlineStr">
        <is>
          <t>Progressive</t>
        </is>
      </c>
      <c r="D93" s="12" t="inlineStr">
        <is>
          <t>No</t>
        </is>
      </c>
      <c r="E93" s="12" t="inlineStr">
        <is>
          <t>No</t>
        </is>
      </c>
      <c r="F93" s="13" t="n">
        <v>2745</v>
      </c>
      <c r="G93" s="13" t="n">
        <v>5495</v>
      </c>
      <c r="H93" s="15" t="inlineStr">
        <is>
          <t>Progressive; SS exempt.</t>
        </is>
      </c>
    </row>
    <row r="94">
      <c r="A94" s="12" t="inlineStr">
        <is>
          <t>MN</t>
        </is>
      </c>
      <c r="B94" s="12" t="inlineStr">
        <is>
          <t>Minnesota</t>
        </is>
      </c>
      <c r="C94" s="12" t="inlineStr">
        <is>
          <t>Progressive</t>
        </is>
      </c>
      <c r="D94" s="12" t="inlineStr">
        <is>
          <t>Yes</t>
        </is>
      </c>
      <c r="E94" s="12" t="inlineStr">
        <is>
          <t>No</t>
        </is>
      </c>
      <c r="F94" s="13" t="n">
        <v>14575</v>
      </c>
      <c r="G94" s="13" t="n">
        <v>29150</v>
      </c>
      <c r="H94" s="15" t="inlineStr">
        <is>
          <t>Progressive; SS taxable with subtraction not modeled (simplified: taxable).</t>
        </is>
      </c>
    </row>
    <row r="95">
      <c r="A95" s="12" t="inlineStr">
        <is>
          <t>HI</t>
        </is>
      </c>
      <c r="B95" s="12" t="inlineStr">
        <is>
          <t>Hawaii</t>
        </is>
      </c>
      <c r="C95" s="12" t="inlineStr">
        <is>
          <t>Progressive</t>
        </is>
      </c>
      <c r="D95" s="12" t="inlineStr">
        <is>
          <t>No</t>
        </is>
      </c>
      <c r="E95" s="12" t="inlineStr">
        <is>
          <t>Yes</t>
        </is>
      </c>
      <c r="F95" s="13" t="n">
        <v>2200</v>
      </c>
      <c r="G95" s="13" t="n">
        <v>4400</v>
      </c>
      <c r="H95" s="15" t="inlineStr">
        <is>
          <t>Progressive; SS exempt; qualified pension income exempt.</t>
        </is>
      </c>
    </row>
    <row r="96">
      <c r="A96" s="12" t="inlineStr">
        <is>
          <t>VA</t>
        </is>
      </c>
      <c r="B96" s="12" t="inlineStr">
        <is>
          <t>Virginia</t>
        </is>
      </c>
      <c r="C96" s="12" t="inlineStr">
        <is>
          <t>Progressive</t>
        </is>
      </c>
      <c r="D96" s="12" t="inlineStr">
        <is>
          <t>No</t>
        </is>
      </c>
      <c r="E96" s="12" t="inlineStr">
        <is>
          <t>No</t>
        </is>
      </c>
      <c r="F96" s="13" t="n">
        <v>8500</v>
      </c>
      <c r="G96" s="13" t="n">
        <v>17000</v>
      </c>
      <c r="H96" s="15" t="inlineStr">
        <is>
          <t>Progressive; SS exempt.</t>
        </is>
      </c>
    </row>
    <row r="97">
      <c r="A97" s="12" t="inlineStr">
        <is>
          <t>SC</t>
        </is>
      </c>
      <c r="B97" s="12" t="inlineStr">
        <is>
          <t>South Carolina</t>
        </is>
      </c>
      <c r="C97" s="12" t="inlineStr">
        <is>
          <t>Progressive</t>
        </is>
      </c>
      <c r="D97" s="12" t="inlineStr">
        <is>
          <t>No</t>
        </is>
      </c>
      <c r="E97" s="12" t="inlineStr">
        <is>
          <t>No</t>
        </is>
      </c>
      <c r="F97" s="13" t="n">
        <v>14600</v>
      </c>
      <c r="G97" s="13" t="n">
        <v>29200</v>
      </c>
      <c r="H97" s="15" t="inlineStr">
        <is>
          <t>Progressive; SS exempt; retirement deduction not modeled.</t>
        </is>
      </c>
    </row>
    <row r="98">
      <c r="A98" s="12" t="inlineStr">
        <is>
          <t>MD</t>
        </is>
      </c>
      <c r="B98" s="12" t="inlineStr">
        <is>
          <t>Maryland</t>
        </is>
      </c>
      <c r="C98" s="12" t="inlineStr">
        <is>
          <t>Progressive</t>
        </is>
      </c>
      <c r="D98" s="12" t="inlineStr">
        <is>
          <t>No</t>
        </is>
      </c>
      <c r="E98" s="12" t="inlineStr">
        <is>
          <t>No</t>
        </is>
      </c>
      <c r="F98" s="13" t="n">
        <v>2400</v>
      </c>
      <c r="G98" s="13" t="n">
        <v>4850</v>
      </c>
      <c r="H98" s="15" t="inlineStr">
        <is>
          <t>Progressive; SS exempt; pension exclusion not modeled. County piggyback tax handled on Local tab.</t>
        </is>
      </c>
    </row>
    <row r="99">
      <c r="A99" s="12" t="inlineStr">
        <is>
          <t>WI</t>
        </is>
      </c>
      <c r="B99" s="12" t="inlineStr">
        <is>
          <t>Wisconsin</t>
        </is>
      </c>
      <c r="C99" s="12" t="inlineStr">
        <is>
          <t>Progressive</t>
        </is>
      </c>
      <c r="D99" s="12" t="inlineStr">
        <is>
          <t>No</t>
        </is>
      </c>
      <c r="E99" s="12" t="inlineStr">
        <is>
          <t>No</t>
        </is>
      </c>
      <c r="F99" s="13" t="n">
        <v>13230</v>
      </c>
      <c r="G99" s="13" t="n">
        <v>25640</v>
      </c>
      <c r="H99" s="15" t="inlineStr">
        <is>
          <t>Progressive; SS exempt.</t>
        </is>
      </c>
    </row>
    <row r="100">
      <c r="A100" s="12" t="inlineStr">
        <is>
          <t>OH</t>
        </is>
      </c>
      <c r="B100" s="12" t="inlineStr">
        <is>
          <t>Ohio</t>
        </is>
      </c>
      <c r="C100" s="12" t="inlineStr">
        <is>
          <t>Progressive</t>
        </is>
      </c>
      <c r="D100" s="12" t="inlineStr">
        <is>
          <t>No</t>
        </is>
      </c>
      <c r="E100" s="12" t="inlineStr">
        <is>
          <t>No</t>
        </is>
      </c>
      <c r="F100" s="13" t="n">
        <v>0</v>
      </c>
      <c r="G100" s="13" t="n">
        <v>0</v>
      </c>
      <c r="H100" s="15" t="inlineStr">
        <is>
          <t>Progressive; SS exempt; municipal EIT handled on Local tab.</t>
        </is>
      </c>
    </row>
    <row r="101">
      <c r="A101" s="12" t="inlineStr">
        <is>
          <t>DC</t>
        </is>
      </c>
      <c r="B101" s="12" t="inlineStr">
        <is>
          <t>District of Columbia</t>
        </is>
      </c>
      <c r="C101" s="12" t="inlineStr">
        <is>
          <t>Progressive</t>
        </is>
      </c>
      <c r="D101" s="12" t="inlineStr">
        <is>
          <t>No</t>
        </is>
      </c>
      <c r="E101" s="12" t="inlineStr">
        <is>
          <t>No</t>
        </is>
      </c>
      <c r="F101" s="13" t="n">
        <v>14600</v>
      </c>
      <c r="G101" s="13" t="n">
        <v>29200</v>
      </c>
      <c r="H101" s="15" t="inlineStr">
        <is>
          <t>Progressive; SS exempt.</t>
        </is>
      </c>
    </row>
    <row r="102">
      <c r="A102" s="12" t="inlineStr">
        <is>
          <t>OTHER</t>
        </is>
      </c>
      <c r="B102" s="12" t="inlineStr">
        <is>
          <t>Other (Manual Entry)</t>
        </is>
      </c>
      <c r="C102" s="12" t="inlineStr">
        <is>
          <t>Manual</t>
        </is>
      </c>
      <c r="D102" s="12" t="inlineStr">
        <is>
          <t>N/A</t>
        </is>
      </c>
      <c r="E102" s="12" t="inlineStr">
        <is>
          <t>N/A</t>
        </is>
      </c>
      <c r="F102" s="13" t="n">
        <v>0</v>
      </c>
      <c r="G102" s="13" t="n">
        <v>0</v>
      </c>
      <c r="H102" s="11" t="inlineStr">
        <is>
          <t>Uses the manual effective state tax rate entered on the calculator tab.</t>
        </is>
      </c>
    </row>
    <row r="104" ht="18" customHeight="1">
      <c r="A104" s="3" t="inlineStr">
        <is>
          <t>State Income Tax Brackets (unified format; category Single covers Single/MFS/HOH, MFJ covers MFJ/QSS)</t>
        </is>
      </c>
    </row>
    <row r="105">
      <c r="A105" s="5" t="inlineStr">
        <is>
          <t>State Code</t>
        </is>
      </c>
      <c r="B105" s="5" t="inlineStr">
        <is>
          <t>Filing Category</t>
        </is>
      </c>
      <c r="C105" s="5" t="inlineStr">
        <is>
          <t>Key</t>
        </is>
      </c>
      <c r="D105" s="5" t="inlineStr">
        <is>
          <t>Rate 1</t>
        </is>
      </c>
      <c r="E105" s="5" t="inlineStr">
        <is>
          <t>Min 1</t>
        </is>
      </c>
      <c r="F105" s="5" t="inlineStr">
        <is>
          <t>Max 1</t>
        </is>
      </c>
      <c r="G105" s="5" t="inlineStr">
        <is>
          <t>Rate 2</t>
        </is>
      </c>
      <c r="H105" s="5" t="inlineStr">
        <is>
          <t>Min 2</t>
        </is>
      </c>
      <c r="I105" s="5" t="inlineStr">
        <is>
          <t>Max 2</t>
        </is>
      </c>
      <c r="J105" s="5" t="inlineStr">
        <is>
          <t>Rate 3</t>
        </is>
      </c>
      <c r="K105" s="5" t="inlineStr">
        <is>
          <t>Min 3</t>
        </is>
      </c>
      <c r="L105" s="5" t="inlineStr">
        <is>
          <t>Max 3</t>
        </is>
      </c>
      <c r="M105" s="5" t="inlineStr">
        <is>
          <t>Rate 4</t>
        </is>
      </c>
      <c r="N105" s="5" t="inlineStr">
        <is>
          <t>Min 4</t>
        </is>
      </c>
      <c r="O105" s="5" t="inlineStr">
        <is>
          <t>Max 4</t>
        </is>
      </c>
      <c r="P105" s="5" t="inlineStr">
        <is>
          <t>Rate 5</t>
        </is>
      </c>
      <c r="Q105" s="5" t="inlineStr">
        <is>
          <t>Min 5</t>
        </is>
      </c>
      <c r="R105" s="5" t="inlineStr">
        <is>
          <t>Max 5</t>
        </is>
      </c>
      <c r="S105" s="5" t="inlineStr">
        <is>
          <t>Rate 6</t>
        </is>
      </c>
      <c r="T105" s="5" t="inlineStr">
        <is>
          <t>Min 6</t>
        </is>
      </c>
      <c r="U105" s="5" t="inlineStr">
        <is>
          <t>Max 6</t>
        </is>
      </c>
      <c r="V105" s="5" t="inlineStr">
        <is>
          <t>Rate 7</t>
        </is>
      </c>
      <c r="W105" s="5" t="inlineStr">
        <is>
          <t>Min 7</t>
        </is>
      </c>
      <c r="X105" s="5" t="inlineStr">
        <is>
          <t>Max 7</t>
        </is>
      </c>
      <c r="Y105" s="5" t="inlineStr">
        <is>
          <t>Rate 8</t>
        </is>
      </c>
      <c r="Z105" s="5" t="inlineStr">
        <is>
          <t>Min 8</t>
        </is>
      </c>
      <c r="AA105" s="5" t="inlineStr">
        <is>
          <t>Max 8</t>
        </is>
      </c>
    </row>
    <row r="106">
      <c r="A106" s="12" t="inlineStr">
        <is>
          <t>FL</t>
        </is>
      </c>
      <c r="B106" s="12" t="inlineStr">
        <is>
          <t>Single</t>
        </is>
      </c>
      <c r="C106" s="7">
        <f>A106&amp;"|"&amp;B106</f>
        <v/>
      </c>
      <c r="D106" s="14" t="n">
        <v>0</v>
      </c>
      <c r="E106" s="13" t="n">
        <v>0</v>
      </c>
      <c r="F106" s="10">
        <f>H106</f>
        <v/>
      </c>
      <c r="G106" s="14" t="n">
        <v>0</v>
      </c>
      <c r="H106" s="13" t="n">
        <v>999999999</v>
      </c>
      <c r="I106" s="10">
        <f>K106</f>
        <v/>
      </c>
      <c r="J106" s="14" t="n">
        <v>0</v>
      </c>
      <c r="K106" s="13" t="n">
        <v>999999999</v>
      </c>
      <c r="L106" s="10">
        <f>N106</f>
        <v/>
      </c>
      <c r="M106" s="14" t="n">
        <v>0</v>
      </c>
      <c r="N106" s="13" t="n">
        <v>999999999</v>
      </c>
      <c r="O106" s="10">
        <f>Q106</f>
        <v/>
      </c>
      <c r="P106" s="14" t="n">
        <v>0</v>
      </c>
      <c r="Q106" s="13" t="n">
        <v>999999999</v>
      </c>
      <c r="R106" s="10">
        <f>T106</f>
        <v/>
      </c>
      <c r="S106" s="14" t="n">
        <v>0</v>
      </c>
      <c r="T106" s="13" t="n">
        <v>999999999</v>
      </c>
      <c r="U106" s="10">
        <f>W106</f>
        <v/>
      </c>
      <c r="V106" s="14" t="n">
        <v>0</v>
      </c>
      <c r="W106" s="13" t="n">
        <v>999999999</v>
      </c>
      <c r="X106" s="10">
        <f>Z106</f>
        <v/>
      </c>
      <c r="Y106" s="14" t="n">
        <v>0</v>
      </c>
      <c r="Z106" s="13" t="n">
        <v>999999999</v>
      </c>
      <c r="AA106" s="10" t="n">
        <v>999999999</v>
      </c>
    </row>
    <row r="107">
      <c r="A107" s="12" t="inlineStr">
        <is>
          <t>FL</t>
        </is>
      </c>
      <c r="B107" s="12" t="inlineStr">
        <is>
          <t>MFJ</t>
        </is>
      </c>
      <c r="C107" s="7">
        <f>A107&amp;"|"&amp;B107</f>
        <v/>
      </c>
      <c r="D107" s="14" t="n">
        <v>0</v>
      </c>
      <c r="E107" s="13" t="n">
        <v>0</v>
      </c>
      <c r="F107" s="10">
        <f>H107</f>
        <v/>
      </c>
      <c r="G107" s="14" t="n">
        <v>0</v>
      </c>
      <c r="H107" s="13" t="n">
        <v>999999999</v>
      </c>
      <c r="I107" s="10">
        <f>K107</f>
        <v/>
      </c>
      <c r="J107" s="14" t="n">
        <v>0</v>
      </c>
      <c r="K107" s="13" t="n">
        <v>999999999</v>
      </c>
      <c r="L107" s="10">
        <f>N107</f>
        <v/>
      </c>
      <c r="M107" s="14" t="n">
        <v>0</v>
      </c>
      <c r="N107" s="13" t="n">
        <v>999999999</v>
      </c>
      <c r="O107" s="10">
        <f>Q107</f>
        <v/>
      </c>
      <c r="P107" s="14" t="n">
        <v>0</v>
      </c>
      <c r="Q107" s="13" t="n">
        <v>999999999</v>
      </c>
      <c r="R107" s="10">
        <f>T107</f>
        <v/>
      </c>
      <c r="S107" s="14" t="n">
        <v>0</v>
      </c>
      <c r="T107" s="13" t="n">
        <v>999999999</v>
      </c>
      <c r="U107" s="10">
        <f>W107</f>
        <v/>
      </c>
      <c r="V107" s="14" t="n">
        <v>0</v>
      </c>
      <c r="W107" s="13" t="n">
        <v>999999999</v>
      </c>
      <c r="X107" s="10">
        <f>Z107</f>
        <v/>
      </c>
      <c r="Y107" s="14" t="n">
        <v>0</v>
      </c>
      <c r="Z107" s="13" t="n">
        <v>999999999</v>
      </c>
      <c r="AA107" s="10" t="n">
        <v>999999999</v>
      </c>
    </row>
    <row r="108">
      <c r="A108" s="12" t="inlineStr">
        <is>
          <t>TX</t>
        </is>
      </c>
      <c r="B108" s="12" t="inlineStr">
        <is>
          <t>Single</t>
        </is>
      </c>
      <c r="C108" s="7">
        <f>A108&amp;"|"&amp;B108</f>
        <v/>
      </c>
      <c r="D108" s="14" t="n">
        <v>0</v>
      </c>
      <c r="E108" s="13" t="n">
        <v>0</v>
      </c>
      <c r="F108" s="10">
        <f>H108</f>
        <v/>
      </c>
      <c r="G108" s="14" t="n">
        <v>0</v>
      </c>
      <c r="H108" s="13" t="n">
        <v>999999999</v>
      </c>
      <c r="I108" s="10">
        <f>K108</f>
        <v/>
      </c>
      <c r="J108" s="14" t="n">
        <v>0</v>
      </c>
      <c r="K108" s="13" t="n">
        <v>999999999</v>
      </c>
      <c r="L108" s="10">
        <f>N108</f>
        <v/>
      </c>
      <c r="M108" s="14" t="n">
        <v>0</v>
      </c>
      <c r="N108" s="13" t="n">
        <v>999999999</v>
      </c>
      <c r="O108" s="10">
        <f>Q108</f>
        <v/>
      </c>
      <c r="P108" s="14" t="n">
        <v>0</v>
      </c>
      <c r="Q108" s="13" t="n">
        <v>999999999</v>
      </c>
      <c r="R108" s="10">
        <f>T108</f>
        <v/>
      </c>
      <c r="S108" s="14" t="n">
        <v>0</v>
      </c>
      <c r="T108" s="13" t="n">
        <v>999999999</v>
      </c>
      <c r="U108" s="10">
        <f>W108</f>
        <v/>
      </c>
      <c r="V108" s="14" t="n">
        <v>0</v>
      </c>
      <c r="W108" s="13" t="n">
        <v>999999999</v>
      </c>
      <c r="X108" s="10">
        <f>Z108</f>
        <v/>
      </c>
      <c r="Y108" s="14" t="n">
        <v>0</v>
      </c>
      <c r="Z108" s="13" t="n">
        <v>999999999</v>
      </c>
      <c r="AA108" s="10" t="n">
        <v>999999999</v>
      </c>
    </row>
    <row r="109">
      <c r="A109" s="12" t="inlineStr">
        <is>
          <t>TX</t>
        </is>
      </c>
      <c r="B109" s="12" t="inlineStr">
        <is>
          <t>MFJ</t>
        </is>
      </c>
      <c r="C109" s="7">
        <f>A109&amp;"|"&amp;B109</f>
        <v/>
      </c>
      <c r="D109" s="14" t="n">
        <v>0</v>
      </c>
      <c r="E109" s="13" t="n">
        <v>0</v>
      </c>
      <c r="F109" s="10">
        <f>H109</f>
        <v/>
      </c>
      <c r="G109" s="14" t="n">
        <v>0</v>
      </c>
      <c r="H109" s="13" t="n">
        <v>999999999</v>
      </c>
      <c r="I109" s="10">
        <f>K109</f>
        <v/>
      </c>
      <c r="J109" s="14" t="n">
        <v>0</v>
      </c>
      <c r="K109" s="13" t="n">
        <v>999999999</v>
      </c>
      <c r="L109" s="10">
        <f>N109</f>
        <v/>
      </c>
      <c r="M109" s="14" t="n">
        <v>0</v>
      </c>
      <c r="N109" s="13" t="n">
        <v>999999999</v>
      </c>
      <c r="O109" s="10">
        <f>Q109</f>
        <v/>
      </c>
      <c r="P109" s="14" t="n">
        <v>0</v>
      </c>
      <c r="Q109" s="13" t="n">
        <v>999999999</v>
      </c>
      <c r="R109" s="10">
        <f>T109</f>
        <v/>
      </c>
      <c r="S109" s="14" t="n">
        <v>0</v>
      </c>
      <c r="T109" s="13" t="n">
        <v>999999999</v>
      </c>
      <c r="U109" s="10">
        <f>W109</f>
        <v/>
      </c>
      <c r="V109" s="14" t="n">
        <v>0</v>
      </c>
      <c r="W109" s="13" t="n">
        <v>999999999</v>
      </c>
      <c r="X109" s="10">
        <f>Z109</f>
        <v/>
      </c>
      <c r="Y109" s="14" t="n">
        <v>0</v>
      </c>
      <c r="Z109" s="13" t="n">
        <v>999999999</v>
      </c>
      <c r="AA109" s="10" t="n">
        <v>999999999</v>
      </c>
    </row>
    <row r="110">
      <c r="A110" s="12" t="inlineStr">
        <is>
          <t>WA</t>
        </is>
      </c>
      <c r="B110" s="12" t="inlineStr">
        <is>
          <t>Single</t>
        </is>
      </c>
      <c r="C110" s="7">
        <f>A110&amp;"|"&amp;B110</f>
        <v/>
      </c>
      <c r="D110" s="14" t="n">
        <v>0</v>
      </c>
      <c r="E110" s="13" t="n">
        <v>0</v>
      </c>
      <c r="F110" s="10">
        <f>H110</f>
        <v/>
      </c>
      <c r="G110" s="14" t="n">
        <v>0</v>
      </c>
      <c r="H110" s="13" t="n">
        <v>999999999</v>
      </c>
      <c r="I110" s="10">
        <f>K110</f>
        <v/>
      </c>
      <c r="J110" s="14" t="n">
        <v>0</v>
      </c>
      <c r="K110" s="13" t="n">
        <v>999999999</v>
      </c>
      <c r="L110" s="10">
        <f>N110</f>
        <v/>
      </c>
      <c r="M110" s="14" t="n">
        <v>0</v>
      </c>
      <c r="N110" s="13" t="n">
        <v>999999999</v>
      </c>
      <c r="O110" s="10">
        <f>Q110</f>
        <v/>
      </c>
      <c r="P110" s="14" t="n">
        <v>0</v>
      </c>
      <c r="Q110" s="13" t="n">
        <v>999999999</v>
      </c>
      <c r="R110" s="10">
        <f>T110</f>
        <v/>
      </c>
      <c r="S110" s="14" t="n">
        <v>0</v>
      </c>
      <c r="T110" s="13" t="n">
        <v>999999999</v>
      </c>
      <c r="U110" s="10">
        <f>W110</f>
        <v/>
      </c>
      <c r="V110" s="14" t="n">
        <v>0</v>
      </c>
      <c r="W110" s="13" t="n">
        <v>999999999</v>
      </c>
      <c r="X110" s="10">
        <f>Z110</f>
        <v/>
      </c>
      <c r="Y110" s="14" t="n">
        <v>0</v>
      </c>
      <c r="Z110" s="13" t="n">
        <v>999999999</v>
      </c>
      <c r="AA110" s="10" t="n">
        <v>999999999</v>
      </c>
    </row>
    <row r="111">
      <c r="A111" s="12" t="inlineStr">
        <is>
          <t>WA</t>
        </is>
      </c>
      <c r="B111" s="12" t="inlineStr">
        <is>
          <t>MFJ</t>
        </is>
      </c>
      <c r="C111" s="7">
        <f>A111&amp;"|"&amp;B111</f>
        <v/>
      </c>
      <c r="D111" s="14" t="n">
        <v>0</v>
      </c>
      <c r="E111" s="13" t="n">
        <v>0</v>
      </c>
      <c r="F111" s="10">
        <f>H111</f>
        <v/>
      </c>
      <c r="G111" s="14" t="n">
        <v>0</v>
      </c>
      <c r="H111" s="13" t="n">
        <v>999999999</v>
      </c>
      <c r="I111" s="10">
        <f>K111</f>
        <v/>
      </c>
      <c r="J111" s="14" t="n">
        <v>0</v>
      </c>
      <c r="K111" s="13" t="n">
        <v>999999999</v>
      </c>
      <c r="L111" s="10">
        <f>N111</f>
        <v/>
      </c>
      <c r="M111" s="14" t="n">
        <v>0</v>
      </c>
      <c r="N111" s="13" t="n">
        <v>999999999</v>
      </c>
      <c r="O111" s="10">
        <f>Q111</f>
        <v/>
      </c>
      <c r="P111" s="14" t="n">
        <v>0</v>
      </c>
      <c r="Q111" s="13" t="n">
        <v>999999999</v>
      </c>
      <c r="R111" s="10">
        <f>T111</f>
        <v/>
      </c>
      <c r="S111" s="14" t="n">
        <v>0</v>
      </c>
      <c r="T111" s="13" t="n">
        <v>999999999</v>
      </c>
      <c r="U111" s="10">
        <f>W111</f>
        <v/>
      </c>
      <c r="V111" s="14" t="n">
        <v>0</v>
      </c>
      <c r="W111" s="13" t="n">
        <v>999999999</v>
      </c>
      <c r="X111" s="10">
        <f>Z111</f>
        <v/>
      </c>
      <c r="Y111" s="14" t="n">
        <v>0</v>
      </c>
      <c r="Z111" s="13" t="n">
        <v>999999999</v>
      </c>
      <c r="AA111" s="10" t="n">
        <v>999999999</v>
      </c>
    </row>
    <row r="112">
      <c r="A112" s="12" t="inlineStr">
        <is>
          <t>NV</t>
        </is>
      </c>
      <c r="B112" s="12" t="inlineStr">
        <is>
          <t>Single</t>
        </is>
      </c>
      <c r="C112" s="7">
        <f>A112&amp;"|"&amp;B112</f>
        <v/>
      </c>
      <c r="D112" s="14" t="n">
        <v>0</v>
      </c>
      <c r="E112" s="13" t="n">
        <v>0</v>
      </c>
      <c r="F112" s="10">
        <f>H112</f>
        <v/>
      </c>
      <c r="G112" s="14" t="n">
        <v>0</v>
      </c>
      <c r="H112" s="13" t="n">
        <v>999999999</v>
      </c>
      <c r="I112" s="10">
        <f>K112</f>
        <v/>
      </c>
      <c r="J112" s="14" t="n">
        <v>0</v>
      </c>
      <c r="K112" s="13" t="n">
        <v>999999999</v>
      </c>
      <c r="L112" s="10">
        <f>N112</f>
        <v/>
      </c>
      <c r="M112" s="14" t="n">
        <v>0</v>
      </c>
      <c r="N112" s="13" t="n">
        <v>999999999</v>
      </c>
      <c r="O112" s="10">
        <f>Q112</f>
        <v/>
      </c>
      <c r="P112" s="14" t="n">
        <v>0</v>
      </c>
      <c r="Q112" s="13" t="n">
        <v>999999999</v>
      </c>
      <c r="R112" s="10">
        <f>T112</f>
        <v/>
      </c>
      <c r="S112" s="14" t="n">
        <v>0</v>
      </c>
      <c r="T112" s="13" t="n">
        <v>999999999</v>
      </c>
      <c r="U112" s="10">
        <f>W112</f>
        <v/>
      </c>
      <c r="V112" s="14" t="n">
        <v>0</v>
      </c>
      <c r="W112" s="13" t="n">
        <v>999999999</v>
      </c>
      <c r="X112" s="10">
        <f>Z112</f>
        <v/>
      </c>
      <c r="Y112" s="14" t="n">
        <v>0</v>
      </c>
      <c r="Z112" s="13" t="n">
        <v>999999999</v>
      </c>
      <c r="AA112" s="10" t="n">
        <v>999999999</v>
      </c>
    </row>
    <row r="113">
      <c r="A113" s="12" t="inlineStr">
        <is>
          <t>NV</t>
        </is>
      </c>
      <c r="B113" s="12" t="inlineStr">
        <is>
          <t>MFJ</t>
        </is>
      </c>
      <c r="C113" s="7">
        <f>A113&amp;"|"&amp;B113</f>
        <v/>
      </c>
      <c r="D113" s="14" t="n">
        <v>0</v>
      </c>
      <c r="E113" s="13" t="n">
        <v>0</v>
      </c>
      <c r="F113" s="10">
        <f>H113</f>
        <v/>
      </c>
      <c r="G113" s="14" t="n">
        <v>0</v>
      </c>
      <c r="H113" s="13" t="n">
        <v>999999999</v>
      </c>
      <c r="I113" s="10">
        <f>K113</f>
        <v/>
      </c>
      <c r="J113" s="14" t="n">
        <v>0</v>
      </c>
      <c r="K113" s="13" t="n">
        <v>999999999</v>
      </c>
      <c r="L113" s="10">
        <f>N113</f>
        <v/>
      </c>
      <c r="M113" s="14" t="n">
        <v>0</v>
      </c>
      <c r="N113" s="13" t="n">
        <v>999999999</v>
      </c>
      <c r="O113" s="10">
        <f>Q113</f>
        <v/>
      </c>
      <c r="P113" s="14" t="n">
        <v>0</v>
      </c>
      <c r="Q113" s="13" t="n">
        <v>999999999</v>
      </c>
      <c r="R113" s="10">
        <f>T113</f>
        <v/>
      </c>
      <c r="S113" s="14" t="n">
        <v>0</v>
      </c>
      <c r="T113" s="13" t="n">
        <v>999999999</v>
      </c>
      <c r="U113" s="10">
        <f>W113</f>
        <v/>
      </c>
      <c r="V113" s="14" t="n">
        <v>0</v>
      </c>
      <c r="W113" s="13" t="n">
        <v>999999999</v>
      </c>
      <c r="X113" s="10">
        <f>Z113</f>
        <v/>
      </c>
      <c r="Y113" s="14" t="n">
        <v>0</v>
      </c>
      <c r="Z113" s="13" t="n">
        <v>999999999</v>
      </c>
      <c r="AA113" s="10" t="n">
        <v>999999999</v>
      </c>
    </row>
    <row r="114">
      <c r="A114" s="12" t="inlineStr">
        <is>
          <t>WY</t>
        </is>
      </c>
      <c r="B114" s="12" t="inlineStr">
        <is>
          <t>Single</t>
        </is>
      </c>
      <c r="C114" s="7">
        <f>A114&amp;"|"&amp;B114</f>
        <v/>
      </c>
      <c r="D114" s="14" t="n">
        <v>0</v>
      </c>
      <c r="E114" s="13" t="n">
        <v>0</v>
      </c>
      <c r="F114" s="10">
        <f>H114</f>
        <v/>
      </c>
      <c r="G114" s="14" t="n">
        <v>0</v>
      </c>
      <c r="H114" s="13" t="n">
        <v>999999999</v>
      </c>
      <c r="I114" s="10">
        <f>K114</f>
        <v/>
      </c>
      <c r="J114" s="14" t="n">
        <v>0</v>
      </c>
      <c r="K114" s="13" t="n">
        <v>999999999</v>
      </c>
      <c r="L114" s="10">
        <f>N114</f>
        <v/>
      </c>
      <c r="M114" s="14" t="n">
        <v>0</v>
      </c>
      <c r="N114" s="13" t="n">
        <v>999999999</v>
      </c>
      <c r="O114" s="10">
        <f>Q114</f>
        <v/>
      </c>
      <c r="P114" s="14" t="n">
        <v>0</v>
      </c>
      <c r="Q114" s="13" t="n">
        <v>999999999</v>
      </c>
      <c r="R114" s="10">
        <f>T114</f>
        <v/>
      </c>
      <c r="S114" s="14" t="n">
        <v>0</v>
      </c>
      <c r="T114" s="13" t="n">
        <v>999999999</v>
      </c>
      <c r="U114" s="10">
        <f>W114</f>
        <v/>
      </c>
      <c r="V114" s="14" t="n">
        <v>0</v>
      </c>
      <c r="W114" s="13" t="n">
        <v>999999999</v>
      </c>
      <c r="X114" s="10">
        <f>Z114</f>
        <v/>
      </c>
      <c r="Y114" s="14" t="n">
        <v>0</v>
      </c>
      <c r="Z114" s="13" t="n">
        <v>999999999</v>
      </c>
      <c r="AA114" s="10" t="n">
        <v>999999999</v>
      </c>
    </row>
    <row r="115">
      <c r="A115" s="12" t="inlineStr">
        <is>
          <t>WY</t>
        </is>
      </c>
      <c r="B115" s="12" t="inlineStr">
        <is>
          <t>MFJ</t>
        </is>
      </c>
      <c r="C115" s="7">
        <f>A115&amp;"|"&amp;B115</f>
        <v/>
      </c>
      <c r="D115" s="14" t="n">
        <v>0</v>
      </c>
      <c r="E115" s="13" t="n">
        <v>0</v>
      </c>
      <c r="F115" s="10">
        <f>H115</f>
        <v/>
      </c>
      <c r="G115" s="14" t="n">
        <v>0</v>
      </c>
      <c r="H115" s="13" t="n">
        <v>999999999</v>
      </c>
      <c r="I115" s="10">
        <f>K115</f>
        <v/>
      </c>
      <c r="J115" s="14" t="n">
        <v>0</v>
      </c>
      <c r="K115" s="13" t="n">
        <v>999999999</v>
      </c>
      <c r="L115" s="10">
        <f>N115</f>
        <v/>
      </c>
      <c r="M115" s="14" t="n">
        <v>0</v>
      </c>
      <c r="N115" s="13" t="n">
        <v>999999999</v>
      </c>
      <c r="O115" s="10">
        <f>Q115</f>
        <v/>
      </c>
      <c r="P115" s="14" t="n">
        <v>0</v>
      </c>
      <c r="Q115" s="13" t="n">
        <v>999999999</v>
      </c>
      <c r="R115" s="10">
        <f>T115</f>
        <v/>
      </c>
      <c r="S115" s="14" t="n">
        <v>0</v>
      </c>
      <c r="T115" s="13" t="n">
        <v>999999999</v>
      </c>
      <c r="U115" s="10">
        <f>W115</f>
        <v/>
      </c>
      <c r="V115" s="14" t="n">
        <v>0</v>
      </c>
      <c r="W115" s="13" t="n">
        <v>999999999</v>
      </c>
      <c r="X115" s="10">
        <f>Z115</f>
        <v/>
      </c>
      <c r="Y115" s="14" t="n">
        <v>0</v>
      </c>
      <c r="Z115" s="13" t="n">
        <v>999999999</v>
      </c>
      <c r="AA115" s="10" t="n">
        <v>999999999</v>
      </c>
    </row>
    <row r="116">
      <c r="A116" s="12" t="inlineStr">
        <is>
          <t>SD</t>
        </is>
      </c>
      <c r="B116" s="12" t="inlineStr">
        <is>
          <t>Single</t>
        </is>
      </c>
      <c r="C116" s="7">
        <f>A116&amp;"|"&amp;B116</f>
        <v/>
      </c>
      <c r="D116" s="14" t="n">
        <v>0</v>
      </c>
      <c r="E116" s="13" t="n">
        <v>0</v>
      </c>
      <c r="F116" s="10">
        <f>H116</f>
        <v/>
      </c>
      <c r="G116" s="14" t="n">
        <v>0</v>
      </c>
      <c r="H116" s="13" t="n">
        <v>999999999</v>
      </c>
      <c r="I116" s="10">
        <f>K116</f>
        <v/>
      </c>
      <c r="J116" s="14" t="n">
        <v>0</v>
      </c>
      <c r="K116" s="13" t="n">
        <v>999999999</v>
      </c>
      <c r="L116" s="10">
        <f>N116</f>
        <v/>
      </c>
      <c r="M116" s="14" t="n">
        <v>0</v>
      </c>
      <c r="N116" s="13" t="n">
        <v>999999999</v>
      </c>
      <c r="O116" s="10">
        <f>Q116</f>
        <v/>
      </c>
      <c r="P116" s="14" t="n">
        <v>0</v>
      </c>
      <c r="Q116" s="13" t="n">
        <v>999999999</v>
      </c>
      <c r="R116" s="10">
        <f>T116</f>
        <v/>
      </c>
      <c r="S116" s="14" t="n">
        <v>0</v>
      </c>
      <c r="T116" s="13" t="n">
        <v>999999999</v>
      </c>
      <c r="U116" s="10">
        <f>W116</f>
        <v/>
      </c>
      <c r="V116" s="14" t="n">
        <v>0</v>
      </c>
      <c r="W116" s="13" t="n">
        <v>999999999</v>
      </c>
      <c r="X116" s="10">
        <f>Z116</f>
        <v/>
      </c>
      <c r="Y116" s="14" t="n">
        <v>0</v>
      </c>
      <c r="Z116" s="13" t="n">
        <v>999999999</v>
      </c>
      <c r="AA116" s="10" t="n">
        <v>999999999</v>
      </c>
    </row>
    <row r="117">
      <c r="A117" s="12" t="inlineStr">
        <is>
          <t>SD</t>
        </is>
      </c>
      <c r="B117" s="12" t="inlineStr">
        <is>
          <t>MFJ</t>
        </is>
      </c>
      <c r="C117" s="7">
        <f>A117&amp;"|"&amp;B117</f>
        <v/>
      </c>
      <c r="D117" s="14" t="n">
        <v>0</v>
      </c>
      <c r="E117" s="13" t="n">
        <v>0</v>
      </c>
      <c r="F117" s="10">
        <f>H117</f>
        <v/>
      </c>
      <c r="G117" s="14" t="n">
        <v>0</v>
      </c>
      <c r="H117" s="13" t="n">
        <v>999999999</v>
      </c>
      <c r="I117" s="10">
        <f>K117</f>
        <v/>
      </c>
      <c r="J117" s="14" t="n">
        <v>0</v>
      </c>
      <c r="K117" s="13" t="n">
        <v>999999999</v>
      </c>
      <c r="L117" s="10">
        <f>N117</f>
        <v/>
      </c>
      <c r="M117" s="14" t="n">
        <v>0</v>
      </c>
      <c r="N117" s="13" t="n">
        <v>999999999</v>
      </c>
      <c r="O117" s="10">
        <f>Q117</f>
        <v/>
      </c>
      <c r="P117" s="14" t="n">
        <v>0</v>
      </c>
      <c r="Q117" s="13" t="n">
        <v>999999999</v>
      </c>
      <c r="R117" s="10">
        <f>T117</f>
        <v/>
      </c>
      <c r="S117" s="14" t="n">
        <v>0</v>
      </c>
      <c r="T117" s="13" t="n">
        <v>999999999</v>
      </c>
      <c r="U117" s="10">
        <f>W117</f>
        <v/>
      </c>
      <c r="V117" s="14" t="n">
        <v>0</v>
      </c>
      <c r="W117" s="13" t="n">
        <v>999999999</v>
      </c>
      <c r="X117" s="10">
        <f>Z117</f>
        <v/>
      </c>
      <c r="Y117" s="14" t="n">
        <v>0</v>
      </c>
      <c r="Z117" s="13" t="n">
        <v>999999999</v>
      </c>
      <c r="AA117" s="10" t="n">
        <v>999999999</v>
      </c>
    </row>
    <row r="118">
      <c r="A118" s="12" t="inlineStr">
        <is>
          <t>AK</t>
        </is>
      </c>
      <c r="B118" s="12" t="inlineStr">
        <is>
          <t>Single</t>
        </is>
      </c>
      <c r="C118" s="7">
        <f>A118&amp;"|"&amp;B118</f>
        <v/>
      </c>
      <c r="D118" s="14" t="n">
        <v>0</v>
      </c>
      <c r="E118" s="13" t="n">
        <v>0</v>
      </c>
      <c r="F118" s="10">
        <f>H118</f>
        <v/>
      </c>
      <c r="G118" s="14" t="n">
        <v>0</v>
      </c>
      <c r="H118" s="13" t="n">
        <v>999999999</v>
      </c>
      <c r="I118" s="10">
        <f>K118</f>
        <v/>
      </c>
      <c r="J118" s="14" t="n">
        <v>0</v>
      </c>
      <c r="K118" s="13" t="n">
        <v>999999999</v>
      </c>
      <c r="L118" s="10">
        <f>N118</f>
        <v/>
      </c>
      <c r="M118" s="14" t="n">
        <v>0</v>
      </c>
      <c r="N118" s="13" t="n">
        <v>999999999</v>
      </c>
      <c r="O118" s="10">
        <f>Q118</f>
        <v/>
      </c>
      <c r="P118" s="14" t="n">
        <v>0</v>
      </c>
      <c r="Q118" s="13" t="n">
        <v>999999999</v>
      </c>
      <c r="R118" s="10">
        <f>T118</f>
        <v/>
      </c>
      <c r="S118" s="14" t="n">
        <v>0</v>
      </c>
      <c r="T118" s="13" t="n">
        <v>999999999</v>
      </c>
      <c r="U118" s="10">
        <f>W118</f>
        <v/>
      </c>
      <c r="V118" s="14" t="n">
        <v>0</v>
      </c>
      <c r="W118" s="13" t="n">
        <v>999999999</v>
      </c>
      <c r="X118" s="10">
        <f>Z118</f>
        <v/>
      </c>
      <c r="Y118" s="14" t="n">
        <v>0</v>
      </c>
      <c r="Z118" s="13" t="n">
        <v>999999999</v>
      </c>
      <c r="AA118" s="10" t="n">
        <v>999999999</v>
      </c>
    </row>
    <row r="119">
      <c r="A119" s="12" t="inlineStr">
        <is>
          <t>AK</t>
        </is>
      </c>
      <c r="B119" s="12" t="inlineStr">
        <is>
          <t>MFJ</t>
        </is>
      </c>
      <c r="C119" s="7">
        <f>A119&amp;"|"&amp;B119</f>
        <v/>
      </c>
      <c r="D119" s="14" t="n">
        <v>0</v>
      </c>
      <c r="E119" s="13" t="n">
        <v>0</v>
      </c>
      <c r="F119" s="10">
        <f>H119</f>
        <v/>
      </c>
      <c r="G119" s="14" t="n">
        <v>0</v>
      </c>
      <c r="H119" s="13" t="n">
        <v>999999999</v>
      </c>
      <c r="I119" s="10">
        <f>K119</f>
        <v/>
      </c>
      <c r="J119" s="14" t="n">
        <v>0</v>
      </c>
      <c r="K119" s="13" t="n">
        <v>999999999</v>
      </c>
      <c r="L119" s="10">
        <f>N119</f>
        <v/>
      </c>
      <c r="M119" s="14" t="n">
        <v>0</v>
      </c>
      <c r="N119" s="13" t="n">
        <v>999999999</v>
      </c>
      <c r="O119" s="10">
        <f>Q119</f>
        <v/>
      </c>
      <c r="P119" s="14" t="n">
        <v>0</v>
      </c>
      <c r="Q119" s="13" t="n">
        <v>999999999</v>
      </c>
      <c r="R119" s="10">
        <f>T119</f>
        <v/>
      </c>
      <c r="S119" s="14" t="n">
        <v>0</v>
      </c>
      <c r="T119" s="13" t="n">
        <v>999999999</v>
      </c>
      <c r="U119" s="10">
        <f>W119</f>
        <v/>
      </c>
      <c r="V119" s="14" t="n">
        <v>0</v>
      </c>
      <c r="W119" s="13" t="n">
        <v>999999999</v>
      </c>
      <c r="X119" s="10">
        <f>Z119</f>
        <v/>
      </c>
      <c r="Y119" s="14" t="n">
        <v>0</v>
      </c>
      <c r="Z119" s="13" t="n">
        <v>999999999</v>
      </c>
      <c r="AA119" s="10" t="n">
        <v>999999999</v>
      </c>
    </row>
    <row r="120">
      <c r="A120" s="12" t="inlineStr">
        <is>
          <t>TN</t>
        </is>
      </c>
      <c r="B120" s="12" t="inlineStr">
        <is>
          <t>Single</t>
        </is>
      </c>
      <c r="C120" s="7">
        <f>A120&amp;"|"&amp;B120</f>
        <v/>
      </c>
      <c r="D120" s="14" t="n">
        <v>0</v>
      </c>
      <c r="E120" s="13" t="n">
        <v>0</v>
      </c>
      <c r="F120" s="10">
        <f>H120</f>
        <v/>
      </c>
      <c r="G120" s="14" t="n">
        <v>0</v>
      </c>
      <c r="H120" s="13" t="n">
        <v>999999999</v>
      </c>
      <c r="I120" s="10">
        <f>K120</f>
        <v/>
      </c>
      <c r="J120" s="14" t="n">
        <v>0</v>
      </c>
      <c r="K120" s="13" t="n">
        <v>999999999</v>
      </c>
      <c r="L120" s="10">
        <f>N120</f>
        <v/>
      </c>
      <c r="M120" s="14" t="n">
        <v>0</v>
      </c>
      <c r="N120" s="13" t="n">
        <v>999999999</v>
      </c>
      <c r="O120" s="10">
        <f>Q120</f>
        <v/>
      </c>
      <c r="P120" s="14" t="n">
        <v>0</v>
      </c>
      <c r="Q120" s="13" t="n">
        <v>999999999</v>
      </c>
      <c r="R120" s="10">
        <f>T120</f>
        <v/>
      </c>
      <c r="S120" s="14" t="n">
        <v>0</v>
      </c>
      <c r="T120" s="13" t="n">
        <v>999999999</v>
      </c>
      <c r="U120" s="10">
        <f>W120</f>
        <v/>
      </c>
      <c r="V120" s="14" t="n">
        <v>0</v>
      </c>
      <c r="W120" s="13" t="n">
        <v>999999999</v>
      </c>
      <c r="X120" s="10">
        <f>Z120</f>
        <v/>
      </c>
      <c r="Y120" s="14" t="n">
        <v>0</v>
      </c>
      <c r="Z120" s="13" t="n">
        <v>999999999</v>
      </c>
      <c r="AA120" s="10" t="n">
        <v>999999999</v>
      </c>
    </row>
    <row r="121">
      <c r="A121" s="12" t="inlineStr">
        <is>
          <t>TN</t>
        </is>
      </c>
      <c r="B121" s="12" t="inlineStr">
        <is>
          <t>MFJ</t>
        </is>
      </c>
      <c r="C121" s="7">
        <f>A121&amp;"|"&amp;B121</f>
        <v/>
      </c>
      <c r="D121" s="14" t="n">
        <v>0</v>
      </c>
      <c r="E121" s="13" t="n">
        <v>0</v>
      </c>
      <c r="F121" s="10">
        <f>H121</f>
        <v/>
      </c>
      <c r="G121" s="14" t="n">
        <v>0</v>
      </c>
      <c r="H121" s="13" t="n">
        <v>999999999</v>
      </c>
      <c r="I121" s="10">
        <f>K121</f>
        <v/>
      </c>
      <c r="J121" s="14" t="n">
        <v>0</v>
      </c>
      <c r="K121" s="13" t="n">
        <v>999999999</v>
      </c>
      <c r="L121" s="10">
        <f>N121</f>
        <v/>
      </c>
      <c r="M121" s="14" t="n">
        <v>0</v>
      </c>
      <c r="N121" s="13" t="n">
        <v>999999999</v>
      </c>
      <c r="O121" s="10">
        <f>Q121</f>
        <v/>
      </c>
      <c r="P121" s="14" t="n">
        <v>0</v>
      </c>
      <c r="Q121" s="13" t="n">
        <v>999999999</v>
      </c>
      <c r="R121" s="10">
        <f>T121</f>
        <v/>
      </c>
      <c r="S121" s="14" t="n">
        <v>0</v>
      </c>
      <c r="T121" s="13" t="n">
        <v>999999999</v>
      </c>
      <c r="U121" s="10">
        <f>W121</f>
        <v/>
      </c>
      <c r="V121" s="14" t="n">
        <v>0</v>
      </c>
      <c r="W121" s="13" t="n">
        <v>999999999</v>
      </c>
      <c r="X121" s="10">
        <f>Z121</f>
        <v/>
      </c>
      <c r="Y121" s="14" t="n">
        <v>0</v>
      </c>
      <c r="Z121" s="13" t="n">
        <v>999999999</v>
      </c>
      <c r="AA121" s="10" t="n">
        <v>999999999</v>
      </c>
    </row>
    <row r="122">
      <c r="A122" s="12" t="inlineStr">
        <is>
          <t>CO</t>
        </is>
      </c>
      <c r="B122" s="12" t="inlineStr">
        <is>
          <t>Single</t>
        </is>
      </c>
      <c r="C122" s="7">
        <f>A122&amp;"|"&amp;B122</f>
        <v/>
      </c>
      <c r="D122" s="14" t="n">
        <v>0.044</v>
      </c>
      <c r="E122" s="13" t="n">
        <v>0</v>
      </c>
      <c r="F122" s="10">
        <f>H122</f>
        <v/>
      </c>
      <c r="G122" s="14" t="n">
        <v>0</v>
      </c>
      <c r="H122" s="13" t="n">
        <v>999999999</v>
      </c>
      <c r="I122" s="10">
        <f>K122</f>
        <v/>
      </c>
      <c r="J122" s="14" t="n">
        <v>0</v>
      </c>
      <c r="K122" s="13" t="n">
        <v>999999999</v>
      </c>
      <c r="L122" s="10">
        <f>N122</f>
        <v/>
      </c>
      <c r="M122" s="14" t="n">
        <v>0</v>
      </c>
      <c r="N122" s="13" t="n">
        <v>999999999</v>
      </c>
      <c r="O122" s="10">
        <f>Q122</f>
        <v/>
      </c>
      <c r="P122" s="14" t="n">
        <v>0</v>
      </c>
      <c r="Q122" s="13" t="n">
        <v>999999999</v>
      </c>
      <c r="R122" s="10">
        <f>T122</f>
        <v/>
      </c>
      <c r="S122" s="14" t="n">
        <v>0</v>
      </c>
      <c r="T122" s="13" t="n">
        <v>999999999</v>
      </c>
      <c r="U122" s="10">
        <f>W122</f>
        <v/>
      </c>
      <c r="V122" s="14" t="n">
        <v>0</v>
      </c>
      <c r="W122" s="13" t="n">
        <v>999999999</v>
      </c>
      <c r="X122" s="10">
        <f>Z122</f>
        <v/>
      </c>
      <c r="Y122" s="14" t="n">
        <v>0</v>
      </c>
      <c r="Z122" s="13" t="n">
        <v>999999999</v>
      </c>
      <c r="AA122" s="10" t="n">
        <v>999999999</v>
      </c>
    </row>
    <row r="123">
      <c r="A123" s="12" t="inlineStr">
        <is>
          <t>CO</t>
        </is>
      </c>
      <c r="B123" s="12" t="inlineStr">
        <is>
          <t>MFJ</t>
        </is>
      </c>
      <c r="C123" s="7">
        <f>A123&amp;"|"&amp;B123</f>
        <v/>
      </c>
      <c r="D123" s="14" t="n">
        <v>0.044</v>
      </c>
      <c r="E123" s="13" t="n">
        <v>0</v>
      </c>
      <c r="F123" s="10">
        <f>H123</f>
        <v/>
      </c>
      <c r="G123" s="14" t="n">
        <v>0</v>
      </c>
      <c r="H123" s="13" t="n">
        <v>999999999</v>
      </c>
      <c r="I123" s="10">
        <f>K123</f>
        <v/>
      </c>
      <c r="J123" s="14" t="n">
        <v>0</v>
      </c>
      <c r="K123" s="13" t="n">
        <v>999999999</v>
      </c>
      <c r="L123" s="10">
        <f>N123</f>
        <v/>
      </c>
      <c r="M123" s="14" t="n">
        <v>0</v>
      </c>
      <c r="N123" s="13" t="n">
        <v>999999999</v>
      </c>
      <c r="O123" s="10">
        <f>Q123</f>
        <v/>
      </c>
      <c r="P123" s="14" t="n">
        <v>0</v>
      </c>
      <c r="Q123" s="13" t="n">
        <v>999999999</v>
      </c>
      <c r="R123" s="10">
        <f>T123</f>
        <v/>
      </c>
      <c r="S123" s="14" t="n">
        <v>0</v>
      </c>
      <c r="T123" s="13" t="n">
        <v>999999999</v>
      </c>
      <c r="U123" s="10">
        <f>W123</f>
        <v/>
      </c>
      <c r="V123" s="14" t="n">
        <v>0</v>
      </c>
      <c r="W123" s="13" t="n">
        <v>999999999</v>
      </c>
      <c r="X123" s="10">
        <f>Z123</f>
        <v/>
      </c>
      <c r="Y123" s="14" t="n">
        <v>0</v>
      </c>
      <c r="Z123" s="13" t="n">
        <v>999999999</v>
      </c>
      <c r="AA123" s="10" t="n">
        <v>999999999</v>
      </c>
    </row>
    <row r="124">
      <c r="A124" s="12" t="inlineStr">
        <is>
          <t>IL</t>
        </is>
      </c>
      <c r="B124" s="12" t="inlineStr">
        <is>
          <t>Single</t>
        </is>
      </c>
      <c r="C124" s="7">
        <f>A124&amp;"|"&amp;B124</f>
        <v/>
      </c>
      <c r="D124" s="14" t="n">
        <v>0.0495</v>
      </c>
      <c r="E124" s="13" t="n">
        <v>0</v>
      </c>
      <c r="F124" s="10">
        <f>H124</f>
        <v/>
      </c>
      <c r="G124" s="14" t="n">
        <v>0</v>
      </c>
      <c r="H124" s="13" t="n">
        <v>999999999</v>
      </c>
      <c r="I124" s="10">
        <f>K124</f>
        <v/>
      </c>
      <c r="J124" s="14" t="n">
        <v>0</v>
      </c>
      <c r="K124" s="13" t="n">
        <v>999999999</v>
      </c>
      <c r="L124" s="10">
        <f>N124</f>
        <v/>
      </c>
      <c r="M124" s="14" t="n">
        <v>0</v>
      </c>
      <c r="N124" s="13" t="n">
        <v>999999999</v>
      </c>
      <c r="O124" s="10">
        <f>Q124</f>
        <v/>
      </c>
      <c r="P124" s="14" t="n">
        <v>0</v>
      </c>
      <c r="Q124" s="13" t="n">
        <v>999999999</v>
      </c>
      <c r="R124" s="10">
        <f>T124</f>
        <v/>
      </c>
      <c r="S124" s="14" t="n">
        <v>0</v>
      </c>
      <c r="T124" s="13" t="n">
        <v>999999999</v>
      </c>
      <c r="U124" s="10">
        <f>W124</f>
        <v/>
      </c>
      <c r="V124" s="14" t="n">
        <v>0</v>
      </c>
      <c r="W124" s="13" t="n">
        <v>999999999</v>
      </c>
      <c r="X124" s="10">
        <f>Z124</f>
        <v/>
      </c>
      <c r="Y124" s="14" t="n">
        <v>0</v>
      </c>
      <c r="Z124" s="13" t="n">
        <v>999999999</v>
      </c>
      <c r="AA124" s="10" t="n">
        <v>999999999</v>
      </c>
    </row>
    <row r="125">
      <c r="A125" s="12" t="inlineStr">
        <is>
          <t>IL</t>
        </is>
      </c>
      <c r="B125" s="12" t="inlineStr">
        <is>
          <t>MFJ</t>
        </is>
      </c>
      <c r="C125" s="7">
        <f>A125&amp;"|"&amp;B125</f>
        <v/>
      </c>
      <c r="D125" s="14" t="n">
        <v>0.0495</v>
      </c>
      <c r="E125" s="13" t="n">
        <v>0</v>
      </c>
      <c r="F125" s="10">
        <f>H125</f>
        <v/>
      </c>
      <c r="G125" s="14" t="n">
        <v>0</v>
      </c>
      <c r="H125" s="13" t="n">
        <v>999999999</v>
      </c>
      <c r="I125" s="10">
        <f>K125</f>
        <v/>
      </c>
      <c r="J125" s="14" t="n">
        <v>0</v>
      </c>
      <c r="K125" s="13" t="n">
        <v>999999999</v>
      </c>
      <c r="L125" s="10">
        <f>N125</f>
        <v/>
      </c>
      <c r="M125" s="14" t="n">
        <v>0</v>
      </c>
      <c r="N125" s="13" t="n">
        <v>999999999</v>
      </c>
      <c r="O125" s="10">
        <f>Q125</f>
        <v/>
      </c>
      <c r="P125" s="14" t="n">
        <v>0</v>
      </c>
      <c r="Q125" s="13" t="n">
        <v>999999999</v>
      </c>
      <c r="R125" s="10">
        <f>T125</f>
        <v/>
      </c>
      <c r="S125" s="14" t="n">
        <v>0</v>
      </c>
      <c r="T125" s="13" t="n">
        <v>999999999</v>
      </c>
      <c r="U125" s="10">
        <f>W125</f>
        <v/>
      </c>
      <c r="V125" s="14" t="n">
        <v>0</v>
      </c>
      <c r="W125" s="13" t="n">
        <v>999999999</v>
      </c>
      <c r="X125" s="10">
        <f>Z125</f>
        <v/>
      </c>
      <c r="Y125" s="14" t="n">
        <v>0</v>
      </c>
      <c r="Z125" s="13" t="n">
        <v>999999999</v>
      </c>
      <c r="AA125" s="10" t="n">
        <v>999999999</v>
      </c>
    </row>
    <row r="126">
      <c r="A126" s="12" t="inlineStr">
        <is>
          <t>IN</t>
        </is>
      </c>
      <c r="B126" s="12" t="inlineStr">
        <is>
          <t>Single</t>
        </is>
      </c>
      <c r="C126" s="7">
        <f>A126&amp;"|"&amp;B126</f>
        <v/>
      </c>
      <c r="D126" s="14" t="n">
        <v>0.0305</v>
      </c>
      <c r="E126" s="13" t="n">
        <v>0</v>
      </c>
      <c r="F126" s="10">
        <f>H126</f>
        <v/>
      </c>
      <c r="G126" s="14" t="n">
        <v>0</v>
      </c>
      <c r="H126" s="13" t="n">
        <v>999999999</v>
      </c>
      <c r="I126" s="10">
        <f>K126</f>
        <v/>
      </c>
      <c r="J126" s="14" t="n">
        <v>0</v>
      </c>
      <c r="K126" s="13" t="n">
        <v>999999999</v>
      </c>
      <c r="L126" s="10">
        <f>N126</f>
        <v/>
      </c>
      <c r="M126" s="14" t="n">
        <v>0</v>
      </c>
      <c r="N126" s="13" t="n">
        <v>999999999</v>
      </c>
      <c r="O126" s="10">
        <f>Q126</f>
        <v/>
      </c>
      <c r="P126" s="14" t="n">
        <v>0</v>
      </c>
      <c r="Q126" s="13" t="n">
        <v>999999999</v>
      </c>
      <c r="R126" s="10">
        <f>T126</f>
        <v/>
      </c>
      <c r="S126" s="14" t="n">
        <v>0</v>
      </c>
      <c r="T126" s="13" t="n">
        <v>999999999</v>
      </c>
      <c r="U126" s="10">
        <f>W126</f>
        <v/>
      </c>
      <c r="V126" s="14" t="n">
        <v>0</v>
      </c>
      <c r="W126" s="13" t="n">
        <v>999999999</v>
      </c>
      <c r="X126" s="10">
        <f>Z126</f>
        <v/>
      </c>
      <c r="Y126" s="14" t="n">
        <v>0</v>
      </c>
      <c r="Z126" s="13" t="n">
        <v>999999999</v>
      </c>
      <c r="AA126" s="10" t="n">
        <v>999999999</v>
      </c>
    </row>
    <row r="127">
      <c r="A127" s="12" t="inlineStr">
        <is>
          <t>IN</t>
        </is>
      </c>
      <c r="B127" s="12" t="inlineStr">
        <is>
          <t>MFJ</t>
        </is>
      </c>
      <c r="C127" s="7">
        <f>A127&amp;"|"&amp;B127</f>
        <v/>
      </c>
      <c r="D127" s="14" t="n">
        <v>0.0305</v>
      </c>
      <c r="E127" s="13" t="n">
        <v>0</v>
      </c>
      <c r="F127" s="10">
        <f>H127</f>
        <v/>
      </c>
      <c r="G127" s="14" t="n">
        <v>0</v>
      </c>
      <c r="H127" s="13" t="n">
        <v>999999999</v>
      </c>
      <c r="I127" s="10">
        <f>K127</f>
        <v/>
      </c>
      <c r="J127" s="14" t="n">
        <v>0</v>
      </c>
      <c r="K127" s="13" t="n">
        <v>999999999</v>
      </c>
      <c r="L127" s="10">
        <f>N127</f>
        <v/>
      </c>
      <c r="M127" s="14" t="n">
        <v>0</v>
      </c>
      <c r="N127" s="13" t="n">
        <v>999999999</v>
      </c>
      <c r="O127" s="10">
        <f>Q127</f>
        <v/>
      </c>
      <c r="P127" s="14" t="n">
        <v>0</v>
      </c>
      <c r="Q127" s="13" t="n">
        <v>999999999</v>
      </c>
      <c r="R127" s="10">
        <f>T127</f>
        <v/>
      </c>
      <c r="S127" s="14" t="n">
        <v>0</v>
      </c>
      <c r="T127" s="13" t="n">
        <v>999999999</v>
      </c>
      <c r="U127" s="10">
        <f>W127</f>
        <v/>
      </c>
      <c r="V127" s="14" t="n">
        <v>0</v>
      </c>
      <c r="W127" s="13" t="n">
        <v>999999999</v>
      </c>
      <c r="X127" s="10">
        <f>Z127</f>
        <v/>
      </c>
      <c r="Y127" s="14" t="n">
        <v>0</v>
      </c>
      <c r="Z127" s="13" t="n">
        <v>999999999</v>
      </c>
      <c r="AA127" s="10" t="n">
        <v>999999999</v>
      </c>
    </row>
    <row r="128">
      <c r="A128" s="12" t="inlineStr">
        <is>
          <t>MI</t>
        </is>
      </c>
      <c r="B128" s="12" t="inlineStr">
        <is>
          <t>Single</t>
        </is>
      </c>
      <c r="C128" s="7">
        <f>A128&amp;"|"&amp;B128</f>
        <v/>
      </c>
      <c r="D128" s="14" t="n">
        <v>0.0425</v>
      </c>
      <c r="E128" s="13" t="n">
        <v>0</v>
      </c>
      <c r="F128" s="10">
        <f>H128</f>
        <v/>
      </c>
      <c r="G128" s="14" t="n">
        <v>0</v>
      </c>
      <c r="H128" s="13" t="n">
        <v>999999999</v>
      </c>
      <c r="I128" s="10">
        <f>K128</f>
        <v/>
      </c>
      <c r="J128" s="14" t="n">
        <v>0</v>
      </c>
      <c r="K128" s="13" t="n">
        <v>999999999</v>
      </c>
      <c r="L128" s="10">
        <f>N128</f>
        <v/>
      </c>
      <c r="M128" s="14" t="n">
        <v>0</v>
      </c>
      <c r="N128" s="13" t="n">
        <v>999999999</v>
      </c>
      <c r="O128" s="10">
        <f>Q128</f>
        <v/>
      </c>
      <c r="P128" s="14" t="n">
        <v>0</v>
      </c>
      <c r="Q128" s="13" t="n">
        <v>999999999</v>
      </c>
      <c r="R128" s="10">
        <f>T128</f>
        <v/>
      </c>
      <c r="S128" s="14" t="n">
        <v>0</v>
      </c>
      <c r="T128" s="13" t="n">
        <v>999999999</v>
      </c>
      <c r="U128" s="10">
        <f>W128</f>
        <v/>
      </c>
      <c r="V128" s="14" t="n">
        <v>0</v>
      </c>
      <c r="W128" s="13" t="n">
        <v>999999999</v>
      </c>
      <c r="X128" s="10">
        <f>Z128</f>
        <v/>
      </c>
      <c r="Y128" s="14" t="n">
        <v>0</v>
      </c>
      <c r="Z128" s="13" t="n">
        <v>999999999</v>
      </c>
      <c r="AA128" s="10" t="n">
        <v>999999999</v>
      </c>
    </row>
    <row r="129">
      <c r="A129" s="12" t="inlineStr">
        <is>
          <t>MI</t>
        </is>
      </c>
      <c r="B129" s="12" t="inlineStr">
        <is>
          <t>MFJ</t>
        </is>
      </c>
      <c r="C129" s="7">
        <f>A129&amp;"|"&amp;B129</f>
        <v/>
      </c>
      <c r="D129" s="14" t="n">
        <v>0.0425</v>
      </c>
      <c r="E129" s="13" t="n">
        <v>0</v>
      </c>
      <c r="F129" s="10">
        <f>H129</f>
        <v/>
      </c>
      <c r="G129" s="14" t="n">
        <v>0</v>
      </c>
      <c r="H129" s="13" t="n">
        <v>999999999</v>
      </c>
      <c r="I129" s="10">
        <f>K129</f>
        <v/>
      </c>
      <c r="J129" s="14" t="n">
        <v>0</v>
      </c>
      <c r="K129" s="13" t="n">
        <v>999999999</v>
      </c>
      <c r="L129" s="10">
        <f>N129</f>
        <v/>
      </c>
      <c r="M129" s="14" t="n">
        <v>0</v>
      </c>
      <c r="N129" s="13" t="n">
        <v>999999999</v>
      </c>
      <c r="O129" s="10">
        <f>Q129</f>
        <v/>
      </c>
      <c r="P129" s="14" t="n">
        <v>0</v>
      </c>
      <c r="Q129" s="13" t="n">
        <v>999999999</v>
      </c>
      <c r="R129" s="10">
        <f>T129</f>
        <v/>
      </c>
      <c r="S129" s="14" t="n">
        <v>0</v>
      </c>
      <c r="T129" s="13" t="n">
        <v>999999999</v>
      </c>
      <c r="U129" s="10">
        <f>W129</f>
        <v/>
      </c>
      <c r="V129" s="14" t="n">
        <v>0</v>
      </c>
      <c r="W129" s="13" t="n">
        <v>999999999</v>
      </c>
      <c r="X129" s="10">
        <f>Z129</f>
        <v/>
      </c>
      <c r="Y129" s="14" t="n">
        <v>0</v>
      </c>
      <c r="Z129" s="13" t="n">
        <v>999999999</v>
      </c>
      <c r="AA129" s="10" t="n">
        <v>999999999</v>
      </c>
    </row>
    <row r="130">
      <c r="A130" s="12" t="inlineStr">
        <is>
          <t>NC</t>
        </is>
      </c>
      <c r="B130" s="12" t="inlineStr">
        <is>
          <t>Single</t>
        </is>
      </c>
      <c r="C130" s="7">
        <f>A130&amp;"|"&amp;B130</f>
        <v/>
      </c>
      <c r="D130" s="14" t="n">
        <v>0.045</v>
      </c>
      <c r="E130" s="13" t="n">
        <v>0</v>
      </c>
      <c r="F130" s="10">
        <f>H130</f>
        <v/>
      </c>
      <c r="G130" s="14" t="n">
        <v>0</v>
      </c>
      <c r="H130" s="13" t="n">
        <v>999999999</v>
      </c>
      <c r="I130" s="10">
        <f>K130</f>
        <v/>
      </c>
      <c r="J130" s="14" t="n">
        <v>0</v>
      </c>
      <c r="K130" s="13" t="n">
        <v>999999999</v>
      </c>
      <c r="L130" s="10">
        <f>N130</f>
        <v/>
      </c>
      <c r="M130" s="14" t="n">
        <v>0</v>
      </c>
      <c r="N130" s="13" t="n">
        <v>999999999</v>
      </c>
      <c r="O130" s="10">
        <f>Q130</f>
        <v/>
      </c>
      <c r="P130" s="14" t="n">
        <v>0</v>
      </c>
      <c r="Q130" s="13" t="n">
        <v>999999999</v>
      </c>
      <c r="R130" s="10">
        <f>T130</f>
        <v/>
      </c>
      <c r="S130" s="14" t="n">
        <v>0</v>
      </c>
      <c r="T130" s="13" t="n">
        <v>999999999</v>
      </c>
      <c r="U130" s="10">
        <f>W130</f>
        <v/>
      </c>
      <c r="V130" s="14" t="n">
        <v>0</v>
      </c>
      <c r="W130" s="13" t="n">
        <v>999999999</v>
      </c>
      <c r="X130" s="10">
        <f>Z130</f>
        <v/>
      </c>
      <c r="Y130" s="14" t="n">
        <v>0</v>
      </c>
      <c r="Z130" s="13" t="n">
        <v>999999999</v>
      </c>
      <c r="AA130" s="10" t="n">
        <v>999999999</v>
      </c>
    </row>
    <row r="131">
      <c r="A131" s="12" t="inlineStr">
        <is>
          <t>NC</t>
        </is>
      </c>
      <c r="B131" s="12" t="inlineStr">
        <is>
          <t>MFJ</t>
        </is>
      </c>
      <c r="C131" s="7">
        <f>A131&amp;"|"&amp;B131</f>
        <v/>
      </c>
      <c r="D131" s="14" t="n">
        <v>0.045</v>
      </c>
      <c r="E131" s="13" t="n">
        <v>0</v>
      </c>
      <c r="F131" s="10">
        <f>H131</f>
        <v/>
      </c>
      <c r="G131" s="14" t="n">
        <v>0</v>
      </c>
      <c r="H131" s="13" t="n">
        <v>999999999</v>
      </c>
      <c r="I131" s="10">
        <f>K131</f>
        <v/>
      </c>
      <c r="J131" s="14" t="n">
        <v>0</v>
      </c>
      <c r="K131" s="13" t="n">
        <v>999999999</v>
      </c>
      <c r="L131" s="10">
        <f>N131</f>
        <v/>
      </c>
      <c r="M131" s="14" t="n">
        <v>0</v>
      </c>
      <c r="N131" s="13" t="n">
        <v>999999999</v>
      </c>
      <c r="O131" s="10">
        <f>Q131</f>
        <v/>
      </c>
      <c r="P131" s="14" t="n">
        <v>0</v>
      </c>
      <c r="Q131" s="13" t="n">
        <v>999999999</v>
      </c>
      <c r="R131" s="10">
        <f>T131</f>
        <v/>
      </c>
      <c r="S131" s="14" t="n">
        <v>0</v>
      </c>
      <c r="T131" s="13" t="n">
        <v>999999999</v>
      </c>
      <c r="U131" s="10">
        <f>W131</f>
        <v/>
      </c>
      <c r="V131" s="14" t="n">
        <v>0</v>
      </c>
      <c r="W131" s="13" t="n">
        <v>999999999</v>
      </c>
      <c r="X131" s="10">
        <f>Z131</f>
        <v/>
      </c>
      <c r="Y131" s="14" t="n">
        <v>0</v>
      </c>
      <c r="Z131" s="13" t="n">
        <v>999999999</v>
      </c>
      <c r="AA131" s="10" t="n">
        <v>999999999</v>
      </c>
    </row>
    <row r="132">
      <c r="A132" s="12" t="inlineStr">
        <is>
          <t>PA</t>
        </is>
      </c>
      <c r="B132" s="12" t="inlineStr">
        <is>
          <t>Single</t>
        </is>
      </c>
      <c r="C132" s="7">
        <f>A132&amp;"|"&amp;B132</f>
        <v/>
      </c>
      <c r="D132" s="14" t="n">
        <v>0.0307</v>
      </c>
      <c r="E132" s="13" t="n">
        <v>0</v>
      </c>
      <c r="F132" s="10">
        <f>H132</f>
        <v/>
      </c>
      <c r="G132" s="14" t="n">
        <v>0</v>
      </c>
      <c r="H132" s="13" t="n">
        <v>999999999</v>
      </c>
      <c r="I132" s="10">
        <f>K132</f>
        <v/>
      </c>
      <c r="J132" s="14" t="n">
        <v>0</v>
      </c>
      <c r="K132" s="13" t="n">
        <v>999999999</v>
      </c>
      <c r="L132" s="10">
        <f>N132</f>
        <v/>
      </c>
      <c r="M132" s="14" t="n">
        <v>0</v>
      </c>
      <c r="N132" s="13" t="n">
        <v>999999999</v>
      </c>
      <c r="O132" s="10">
        <f>Q132</f>
        <v/>
      </c>
      <c r="P132" s="14" t="n">
        <v>0</v>
      </c>
      <c r="Q132" s="13" t="n">
        <v>999999999</v>
      </c>
      <c r="R132" s="10">
        <f>T132</f>
        <v/>
      </c>
      <c r="S132" s="14" t="n">
        <v>0</v>
      </c>
      <c r="T132" s="13" t="n">
        <v>999999999</v>
      </c>
      <c r="U132" s="10">
        <f>W132</f>
        <v/>
      </c>
      <c r="V132" s="14" t="n">
        <v>0</v>
      </c>
      <c r="W132" s="13" t="n">
        <v>999999999</v>
      </c>
      <c r="X132" s="10">
        <f>Z132</f>
        <v/>
      </c>
      <c r="Y132" s="14" t="n">
        <v>0</v>
      </c>
      <c r="Z132" s="13" t="n">
        <v>999999999</v>
      </c>
      <c r="AA132" s="10" t="n">
        <v>999999999</v>
      </c>
    </row>
    <row r="133">
      <c r="A133" s="12" t="inlineStr">
        <is>
          <t>PA</t>
        </is>
      </c>
      <c r="B133" s="12" t="inlineStr">
        <is>
          <t>MFJ</t>
        </is>
      </c>
      <c r="C133" s="7">
        <f>A133&amp;"|"&amp;B133</f>
        <v/>
      </c>
      <c r="D133" s="14" t="n">
        <v>0.0307</v>
      </c>
      <c r="E133" s="13" t="n">
        <v>0</v>
      </c>
      <c r="F133" s="10">
        <f>H133</f>
        <v/>
      </c>
      <c r="G133" s="14" t="n">
        <v>0</v>
      </c>
      <c r="H133" s="13" t="n">
        <v>999999999</v>
      </c>
      <c r="I133" s="10">
        <f>K133</f>
        <v/>
      </c>
      <c r="J133" s="14" t="n">
        <v>0</v>
      </c>
      <c r="K133" s="13" t="n">
        <v>999999999</v>
      </c>
      <c r="L133" s="10">
        <f>N133</f>
        <v/>
      </c>
      <c r="M133" s="14" t="n">
        <v>0</v>
      </c>
      <c r="N133" s="13" t="n">
        <v>999999999</v>
      </c>
      <c r="O133" s="10">
        <f>Q133</f>
        <v/>
      </c>
      <c r="P133" s="14" t="n">
        <v>0</v>
      </c>
      <c r="Q133" s="13" t="n">
        <v>999999999</v>
      </c>
      <c r="R133" s="10">
        <f>T133</f>
        <v/>
      </c>
      <c r="S133" s="14" t="n">
        <v>0</v>
      </c>
      <c r="T133" s="13" t="n">
        <v>999999999</v>
      </c>
      <c r="U133" s="10">
        <f>W133</f>
        <v/>
      </c>
      <c r="V133" s="14" t="n">
        <v>0</v>
      </c>
      <c r="W133" s="13" t="n">
        <v>999999999</v>
      </c>
      <c r="X133" s="10">
        <f>Z133</f>
        <v/>
      </c>
      <c r="Y133" s="14" t="n">
        <v>0</v>
      </c>
      <c r="Z133" s="13" t="n">
        <v>999999999</v>
      </c>
      <c r="AA133" s="10" t="n">
        <v>999999999</v>
      </c>
    </row>
    <row r="134">
      <c r="A134" s="12" t="inlineStr">
        <is>
          <t>UT</t>
        </is>
      </c>
      <c r="B134" s="12" t="inlineStr">
        <is>
          <t>Single</t>
        </is>
      </c>
      <c r="C134" s="7">
        <f>A134&amp;"|"&amp;B134</f>
        <v/>
      </c>
      <c r="D134" s="14" t="n">
        <v>0.0455</v>
      </c>
      <c r="E134" s="13" t="n">
        <v>0</v>
      </c>
      <c r="F134" s="10">
        <f>H134</f>
        <v/>
      </c>
      <c r="G134" s="14" t="n">
        <v>0</v>
      </c>
      <c r="H134" s="13" t="n">
        <v>999999999</v>
      </c>
      <c r="I134" s="10">
        <f>K134</f>
        <v/>
      </c>
      <c r="J134" s="14" t="n">
        <v>0</v>
      </c>
      <c r="K134" s="13" t="n">
        <v>999999999</v>
      </c>
      <c r="L134" s="10">
        <f>N134</f>
        <v/>
      </c>
      <c r="M134" s="14" t="n">
        <v>0</v>
      </c>
      <c r="N134" s="13" t="n">
        <v>999999999</v>
      </c>
      <c r="O134" s="10">
        <f>Q134</f>
        <v/>
      </c>
      <c r="P134" s="14" t="n">
        <v>0</v>
      </c>
      <c r="Q134" s="13" t="n">
        <v>999999999</v>
      </c>
      <c r="R134" s="10">
        <f>T134</f>
        <v/>
      </c>
      <c r="S134" s="14" t="n">
        <v>0</v>
      </c>
      <c r="T134" s="13" t="n">
        <v>999999999</v>
      </c>
      <c r="U134" s="10">
        <f>W134</f>
        <v/>
      </c>
      <c r="V134" s="14" t="n">
        <v>0</v>
      </c>
      <c r="W134" s="13" t="n">
        <v>999999999</v>
      </c>
      <c r="X134" s="10">
        <f>Z134</f>
        <v/>
      </c>
      <c r="Y134" s="14" t="n">
        <v>0</v>
      </c>
      <c r="Z134" s="13" t="n">
        <v>999999999</v>
      </c>
      <c r="AA134" s="10" t="n">
        <v>999999999</v>
      </c>
    </row>
    <row r="135">
      <c r="A135" s="12" t="inlineStr">
        <is>
          <t>UT</t>
        </is>
      </c>
      <c r="B135" s="12" t="inlineStr">
        <is>
          <t>MFJ</t>
        </is>
      </c>
      <c r="C135" s="7">
        <f>A135&amp;"|"&amp;B135</f>
        <v/>
      </c>
      <c r="D135" s="14" t="n">
        <v>0.0455</v>
      </c>
      <c r="E135" s="13" t="n">
        <v>0</v>
      </c>
      <c r="F135" s="10">
        <f>H135</f>
        <v/>
      </c>
      <c r="G135" s="14" t="n">
        <v>0</v>
      </c>
      <c r="H135" s="13" t="n">
        <v>999999999</v>
      </c>
      <c r="I135" s="10">
        <f>K135</f>
        <v/>
      </c>
      <c r="J135" s="14" t="n">
        <v>0</v>
      </c>
      <c r="K135" s="13" t="n">
        <v>999999999</v>
      </c>
      <c r="L135" s="10">
        <f>N135</f>
        <v/>
      </c>
      <c r="M135" s="14" t="n">
        <v>0</v>
      </c>
      <c r="N135" s="13" t="n">
        <v>999999999</v>
      </c>
      <c r="O135" s="10">
        <f>Q135</f>
        <v/>
      </c>
      <c r="P135" s="14" t="n">
        <v>0</v>
      </c>
      <c r="Q135" s="13" t="n">
        <v>999999999</v>
      </c>
      <c r="R135" s="10">
        <f>T135</f>
        <v/>
      </c>
      <c r="S135" s="14" t="n">
        <v>0</v>
      </c>
      <c r="T135" s="13" t="n">
        <v>999999999</v>
      </c>
      <c r="U135" s="10">
        <f>W135</f>
        <v/>
      </c>
      <c r="V135" s="14" t="n">
        <v>0</v>
      </c>
      <c r="W135" s="13" t="n">
        <v>999999999</v>
      </c>
      <c r="X135" s="10">
        <f>Z135</f>
        <v/>
      </c>
      <c r="Y135" s="14" t="n">
        <v>0</v>
      </c>
      <c r="Z135" s="13" t="n">
        <v>999999999</v>
      </c>
      <c r="AA135" s="10" t="n">
        <v>999999999</v>
      </c>
    </row>
    <row r="136">
      <c r="A136" s="12" t="inlineStr">
        <is>
          <t>KY</t>
        </is>
      </c>
      <c r="B136" s="12" t="inlineStr">
        <is>
          <t>Single</t>
        </is>
      </c>
      <c r="C136" s="7">
        <f>A136&amp;"|"&amp;B136</f>
        <v/>
      </c>
      <c r="D136" s="14" t="n">
        <v>0.04</v>
      </c>
      <c r="E136" s="13" t="n">
        <v>0</v>
      </c>
      <c r="F136" s="10">
        <f>H136</f>
        <v/>
      </c>
      <c r="G136" s="14" t="n">
        <v>0</v>
      </c>
      <c r="H136" s="13" t="n">
        <v>999999999</v>
      </c>
      <c r="I136" s="10">
        <f>K136</f>
        <v/>
      </c>
      <c r="J136" s="14" t="n">
        <v>0</v>
      </c>
      <c r="K136" s="13" t="n">
        <v>999999999</v>
      </c>
      <c r="L136" s="10">
        <f>N136</f>
        <v/>
      </c>
      <c r="M136" s="14" t="n">
        <v>0</v>
      </c>
      <c r="N136" s="13" t="n">
        <v>999999999</v>
      </c>
      <c r="O136" s="10">
        <f>Q136</f>
        <v/>
      </c>
      <c r="P136" s="14" t="n">
        <v>0</v>
      </c>
      <c r="Q136" s="13" t="n">
        <v>999999999</v>
      </c>
      <c r="R136" s="10">
        <f>T136</f>
        <v/>
      </c>
      <c r="S136" s="14" t="n">
        <v>0</v>
      </c>
      <c r="T136" s="13" t="n">
        <v>999999999</v>
      </c>
      <c r="U136" s="10">
        <f>W136</f>
        <v/>
      </c>
      <c r="V136" s="14" t="n">
        <v>0</v>
      </c>
      <c r="W136" s="13" t="n">
        <v>999999999</v>
      </c>
      <c r="X136" s="10">
        <f>Z136</f>
        <v/>
      </c>
      <c r="Y136" s="14" t="n">
        <v>0</v>
      </c>
      <c r="Z136" s="13" t="n">
        <v>999999999</v>
      </c>
      <c r="AA136" s="10" t="n">
        <v>999999999</v>
      </c>
    </row>
    <row r="137">
      <c r="A137" s="12" t="inlineStr">
        <is>
          <t>KY</t>
        </is>
      </c>
      <c r="B137" s="12" t="inlineStr">
        <is>
          <t>MFJ</t>
        </is>
      </c>
      <c r="C137" s="7">
        <f>A137&amp;"|"&amp;B137</f>
        <v/>
      </c>
      <c r="D137" s="14" t="n">
        <v>0.04</v>
      </c>
      <c r="E137" s="13" t="n">
        <v>0</v>
      </c>
      <c r="F137" s="10">
        <f>H137</f>
        <v/>
      </c>
      <c r="G137" s="14" t="n">
        <v>0</v>
      </c>
      <c r="H137" s="13" t="n">
        <v>999999999</v>
      </c>
      <c r="I137" s="10">
        <f>K137</f>
        <v/>
      </c>
      <c r="J137" s="14" t="n">
        <v>0</v>
      </c>
      <c r="K137" s="13" t="n">
        <v>999999999</v>
      </c>
      <c r="L137" s="10">
        <f>N137</f>
        <v/>
      </c>
      <c r="M137" s="14" t="n">
        <v>0</v>
      </c>
      <c r="N137" s="13" t="n">
        <v>999999999</v>
      </c>
      <c r="O137" s="10">
        <f>Q137</f>
        <v/>
      </c>
      <c r="P137" s="14" t="n">
        <v>0</v>
      </c>
      <c r="Q137" s="13" t="n">
        <v>999999999</v>
      </c>
      <c r="R137" s="10">
        <f>T137</f>
        <v/>
      </c>
      <c r="S137" s="14" t="n">
        <v>0</v>
      </c>
      <c r="T137" s="13" t="n">
        <v>999999999</v>
      </c>
      <c r="U137" s="10">
        <f>W137</f>
        <v/>
      </c>
      <c r="V137" s="14" t="n">
        <v>0</v>
      </c>
      <c r="W137" s="13" t="n">
        <v>999999999</v>
      </c>
      <c r="X137" s="10">
        <f>Z137</f>
        <v/>
      </c>
      <c r="Y137" s="14" t="n">
        <v>0</v>
      </c>
      <c r="Z137" s="13" t="n">
        <v>999999999</v>
      </c>
      <c r="AA137" s="10" t="n">
        <v>999999999</v>
      </c>
    </row>
    <row r="138">
      <c r="A138" s="12" t="inlineStr">
        <is>
          <t>AZ</t>
        </is>
      </c>
      <c r="B138" s="12" t="inlineStr">
        <is>
          <t>Single</t>
        </is>
      </c>
      <c r="C138" s="7">
        <f>A138&amp;"|"&amp;B138</f>
        <v/>
      </c>
      <c r="D138" s="14" t="n">
        <v>0.025</v>
      </c>
      <c r="E138" s="13" t="n">
        <v>0</v>
      </c>
      <c r="F138" s="10">
        <f>H138</f>
        <v/>
      </c>
      <c r="G138" s="14" t="n">
        <v>0</v>
      </c>
      <c r="H138" s="13" t="n">
        <v>999999999</v>
      </c>
      <c r="I138" s="10">
        <f>K138</f>
        <v/>
      </c>
      <c r="J138" s="14" t="n">
        <v>0</v>
      </c>
      <c r="K138" s="13" t="n">
        <v>999999999</v>
      </c>
      <c r="L138" s="10">
        <f>N138</f>
        <v/>
      </c>
      <c r="M138" s="14" t="n">
        <v>0</v>
      </c>
      <c r="N138" s="13" t="n">
        <v>999999999</v>
      </c>
      <c r="O138" s="10">
        <f>Q138</f>
        <v/>
      </c>
      <c r="P138" s="14" t="n">
        <v>0</v>
      </c>
      <c r="Q138" s="13" t="n">
        <v>999999999</v>
      </c>
      <c r="R138" s="10">
        <f>T138</f>
        <v/>
      </c>
      <c r="S138" s="14" t="n">
        <v>0</v>
      </c>
      <c r="T138" s="13" t="n">
        <v>999999999</v>
      </c>
      <c r="U138" s="10">
        <f>W138</f>
        <v/>
      </c>
      <c r="V138" s="14" t="n">
        <v>0</v>
      </c>
      <c r="W138" s="13" t="n">
        <v>999999999</v>
      </c>
      <c r="X138" s="10">
        <f>Z138</f>
        <v/>
      </c>
      <c r="Y138" s="14" t="n">
        <v>0</v>
      </c>
      <c r="Z138" s="13" t="n">
        <v>999999999</v>
      </c>
      <c r="AA138" s="10" t="n">
        <v>999999999</v>
      </c>
    </row>
    <row r="139">
      <c r="A139" s="12" t="inlineStr">
        <is>
          <t>AZ</t>
        </is>
      </c>
      <c r="B139" s="12" t="inlineStr">
        <is>
          <t>MFJ</t>
        </is>
      </c>
      <c r="C139" s="7">
        <f>A139&amp;"|"&amp;B139</f>
        <v/>
      </c>
      <c r="D139" s="14" t="n">
        <v>0.025</v>
      </c>
      <c r="E139" s="13" t="n">
        <v>0</v>
      </c>
      <c r="F139" s="10">
        <f>H139</f>
        <v/>
      </c>
      <c r="G139" s="14" t="n">
        <v>0</v>
      </c>
      <c r="H139" s="13" t="n">
        <v>999999999</v>
      </c>
      <c r="I139" s="10">
        <f>K139</f>
        <v/>
      </c>
      <c r="J139" s="14" t="n">
        <v>0</v>
      </c>
      <c r="K139" s="13" t="n">
        <v>999999999</v>
      </c>
      <c r="L139" s="10">
        <f>N139</f>
        <v/>
      </c>
      <c r="M139" s="14" t="n">
        <v>0</v>
      </c>
      <c r="N139" s="13" t="n">
        <v>999999999</v>
      </c>
      <c r="O139" s="10">
        <f>Q139</f>
        <v/>
      </c>
      <c r="P139" s="14" t="n">
        <v>0</v>
      </c>
      <c r="Q139" s="13" t="n">
        <v>999999999</v>
      </c>
      <c r="R139" s="10">
        <f>T139</f>
        <v/>
      </c>
      <c r="S139" s="14" t="n">
        <v>0</v>
      </c>
      <c r="T139" s="13" t="n">
        <v>999999999</v>
      </c>
      <c r="U139" s="10">
        <f>W139</f>
        <v/>
      </c>
      <c r="V139" s="14" t="n">
        <v>0</v>
      </c>
      <c r="W139" s="13" t="n">
        <v>999999999</v>
      </c>
      <c r="X139" s="10">
        <f>Z139</f>
        <v/>
      </c>
      <c r="Y139" s="14" t="n">
        <v>0</v>
      </c>
      <c r="Z139" s="13" t="n">
        <v>999999999</v>
      </c>
      <c r="AA139" s="10" t="n">
        <v>999999999</v>
      </c>
    </row>
    <row r="140">
      <c r="A140" s="12" t="inlineStr">
        <is>
          <t>GA</t>
        </is>
      </c>
      <c r="B140" s="12" t="inlineStr">
        <is>
          <t>Single</t>
        </is>
      </c>
      <c r="C140" s="7">
        <f>A140&amp;"|"&amp;B140</f>
        <v/>
      </c>
      <c r="D140" s="14" t="n">
        <v>0.0539</v>
      </c>
      <c r="E140" s="13" t="n">
        <v>0</v>
      </c>
      <c r="F140" s="10">
        <f>H140</f>
        <v/>
      </c>
      <c r="G140" s="14" t="n">
        <v>0</v>
      </c>
      <c r="H140" s="13" t="n">
        <v>999999999</v>
      </c>
      <c r="I140" s="10">
        <f>K140</f>
        <v/>
      </c>
      <c r="J140" s="14" t="n">
        <v>0</v>
      </c>
      <c r="K140" s="13" t="n">
        <v>999999999</v>
      </c>
      <c r="L140" s="10">
        <f>N140</f>
        <v/>
      </c>
      <c r="M140" s="14" t="n">
        <v>0</v>
      </c>
      <c r="N140" s="13" t="n">
        <v>999999999</v>
      </c>
      <c r="O140" s="10">
        <f>Q140</f>
        <v/>
      </c>
      <c r="P140" s="14" t="n">
        <v>0</v>
      </c>
      <c r="Q140" s="13" t="n">
        <v>999999999</v>
      </c>
      <c r="R140" s="10">
        <f>T140</f>
        <v/>
      </c>
      <c r="S140" s="14" t="n">
        <v>0</v>
      </c>
      <c r="T140" s="13" t="n">
        <v>999999999</v>
      </c>
      <c r="U140" s="10">
        <f>W140</f>
        <v/>
      </c>
      <c r="V140" s="14" t="n">
        <v>0</v>
      </c>
      <c r="W140" s="13" t="n">
        <v>999999999</v>
      </c>
      <c r="X140" s="10">
        <f>Z140</f>
        <v/>
      </c>
      <c r="Y140" s="14" t="n">
        <v>0</v>
      </c>
      <c r="Z140" s="13" t="n">
        <v>999999999</v>
      </c>
      <c r="AA140" s="10" t="n">
        <v>999999999</v>
      </c>
    </row>
    <row r="141">
      <c r="A141" s="12" t="inlineStr">
        <is>
          <t>GA</t>
        </is>
      </c>
      <c r="B141" s="12" t="inlineStr">
        <is>
          <t>MFJ</t>
        </is>
      </c>
      <c r="C141" s="7">
        <f>A141&amp;"|"&amp;B141</f>
        <v/>
      </c>
      <c r="D141" s="14" t="n">
        <v>0.0539</v>
      </c>
      <c r="E141" s="13" t="n">
        <v>0</v>
      </c>
      <c r="F141" s="10">
        <f>H141</f>
        <v/>
      </c>
      <c r="G141" s="14" t="n">
        <v>0</v>
      </c>
      <c r="H141" s="13" t="n">
        <v>999999999</v>
      </c>
      <c r="I141" s="10">
        <f>K141</f>
        <v/>
      </c>
      <c r="J141" s="14" t="n">
        <v>0</v>
      </c>
      <c r="K141" s="13" t="n">
        <v>999999999</v>
      </c>
      <c r="L141" s="10">
        <f>N141</f>
        <v/>
      </c>
      <c r="M141" s="14" t="n">
        <v>0</v>
      </c>
      <c r="N141" s="13" t="n">
        <v>999999999</v>
      </c>
      <c r="O141" s="10">
        <f>Q141</f>
        <v/>
      </c>
      <c r="P141" s="14" t="n">
        <v>0</v>
      </c>
      <c r="Q141" s="13" t="n">
        <v>999999999</v>
      </c>
      <c r="R141" s="10">
        <f>T141</f>
        <v/>
      </c>
      <c r="S141" s="14" t="n">
        <v>0</v>
      </c>
      <c r="T141" s="13" t="n">
        <v>999999999</v>
      </c>
      <c r="U141" s="10">
        <f>W141</f>
        <v/>
      </c>
      <c r="V141" s="14" t="n">
        <v>0</v>
      </c>
      <c r="W141" s="13" t="n">
        <v>999999999</v>
      </c>
      <c r="X141" s="10">
        <f>Z141</f>
        <v/>
      </c>
      <c r="Y141" s="14" t="n">
        <v>0</v>
      </c>
      <c r="Z141" s="13" t="n">
        <v>999999999</v>
      </c>
      <c r="AA141" s="10" t="n">
        <v>999999999</v>
      </c>
    </row>
    <row r="142">
      <c r="A142" s="12" t="inlineStr">
        <is>
          <t>MA</t>
        </is>
      </c>
      <c r="B142" s="12" t="inlineStr">
        <is>
          <t>Single</t>
        </is>
      </c>
      <c r="C142" s="7">
        <f>A142&amp;"|"&amp;B142</f>
        <v/>
      </c>
      <c r="D142" s="14" t="n">
        <v>0.05</v>
      </c>
      <c r="E142" s="13" t="n">
        <v>0</v>
      </c>
      <c r="F142" s="10">
        <f>H142</f>
        <v/>
      </c>
      <c r="G142" s="14" t="n">
        <v>0.09</v>
      </c>
      <c r="H142" s="13" t="n">
        <v>1000000</v>
      </c>
      <c r="I142" s="10">
        <f>K142</f>
        <v/>
      </c>
      <c r="J142" s="14" t="n">
        <v>0</v>
      </c>
      <c r="K142" s="13" t="n">
        <v>999999999</v>
      </c>
      <c r="L142" s="10">
        <f>N142</f>
        <v/>
      </c>
      <c r="M142" s="14" t="n">
        <v>0</v>
      </c>
      <c r="N142" s="13" t="n">
        <v>999999999</v>
      </c>
      <c r="O142" s="10">
        <f>Q142</f>
        <v/>
      </c>
      <c r="P142" s="14" t="n">
        <v>0</v>
      </c>
      <c r="Q142" s="13" t="n">
        <v>999999999</v>
      </c>
      <c r="R142" s="10">
        <f>T142</f>
        <v/>
      </c>
      <c r="S142" s="14" t="n">
        <v>0</v>
      </c>
      <c r="T142" s="13" t="n">
        <v>999999999</v>
      </c>
      <c r="U142" s="10">
        <f>W142</f>
        <v/>
      </c>
      <c r="V142" s="14" t="n">
        <v>0</v>
      </c>
      <c r="W142" s="13" t="n">
        <v>999999999</v>
      </c>
      <c r="X142" s="10">
        <f>Z142</f>
        <v/>
      </c>
      <c r="Y142" s="14" t="n">
        <v>0</v>
      </c>
      <c r="Z142" s="13" t="n">
        <v>999999999</v>
      </c>
      <c r="AA142" s="10" t="n">
        <v>999999999</v>
      </c>
    </row>
    <row r="143">
      <c r="A143" s="12" t="inlineStr">
        <is>
          <t>MA</t>
        </is>
      </c>
      <c r="B143" s="12" t="inlineStr">
        <is>
          <t>MFJ</t>
        </is>
      </c>
      <c r="C143" s="7">
        <f>A143&amp;"|"&amp;B143</f>
        <v/>
      </c>
      <c r="D143" s="14" t="n">
        <v>0.05</v>
      </c>
      <c r="E143" s="13" t="n">
        <v>0</v>
      </c>
      <c r="F143" s="10">
        <f>H143</f>
        <v/>
      </c>
      <c r="G143" s="14" t="n">
        <v>0.09</v>
      </c>
      <c r="H143" s="13" t="n">
        <v>1000000</v>
      </c>
      <c r="I143" s="10">
        <f>K143</f>
        <v/>
      </c>
      <c r="J143" s="14" t="n">
        <v>0</v>
      </c>
      <c r="K143" s="13" t="n">
        <v>999999999</v>
      </c>
      <c r="L143" s="10">
        <f>N143</f>
        <v/>
      </c>
      <c r="M143" s="14" t="n">
        <v>0</v>
      </c>
      <c r="N143" s="13" t="n">
        <v>999999999</v>
      </c>
      <c r="O143" s="10">
        <f>Q143</f>
        <v/>
      </c>
      <c r="P143" s="14" t="n">
        <v>0</v>
      </c>
      <c r="Q143" s="13" t="n">
        <v>999999999</v>
      </c>
      <c r="R143" s="10">
        <f>T143</f>
        <v/>
      </c>
      <c r="S143" s="14" t="n">
        <v>0</v>
      </c>
      <c r="T143" s="13" t="n">
        <v>999999999</v>
      </c>
      <c r="U143" s="10">
        <f>W143</f>
        <v/>
      </c>
      <c r="V143" s="14" t="n">
        <v>0</v>
      </c>
      <c r="W143" s="13" t="n">
        <v>999999999</v>
      </c>
      <c r="X143" s="10">
        <f>Z143</f>
        <v/>
      </c>
      <c r="Y143" s="14" t="n">
        <v>0</v>
      </c>
      <c r="Z143" s="13" t="n">
        <v>999999999</v>
      </c>
      <c r="AA143" s="10" t="n">
        <v>999999999</v>
      </c>
    </row>
    <row r="144">
      <c r="A144" s="12" t="inlineStr">
        <is>
          <t>CA</t>
        </is>
      </c>
      <c r="B144" s="12" t="inlineStr">
        <is>
          <t>Single</t>
        </is>
      </c>
      <c r="C144" s="7">
        <f>A144&amp;"|"&amp;B144</f>
        <v/>
      </c>
      <c r="D144" s="14" t="n">
        <v>0.01</v>
      </c>
      <c r="E144" s="13" t="n">
        <v>0</v>
      </c>
      <c r="F144" s="10">
        <f>H144</f>
        <v/>
      </c>
      <c r="G144" s="14" t="n">
        <v>0.02</v>
      </c>
      <c r="H144" s="13" t="n">
        <v>10412</v>
      </c>
      <c r="I144" s="10">
        <f>K144</f>
        <v/>
      </c>
      <c r="J144" s="14" t="n">
        <v>0.04</v>
      </c>
      <c r="K144" s="13" t="n">
        <v>24684</v>
      </c>
      <c r="L144" s="10">
        <f>N144</f>
        <v/>
      </c>
      <c r="M144" s="14" t="n">
        <v>0.06</v>
      </c>
      <c r="N144" s="13" t="n">
        <v>38959</v>
      </c>
      <c r="O144" s="10">
        <f>Q144</f>
        <v/>
      </c>
      <c r="P144" s="14" t="n">
        <v>0.08</v>
      </c>
      <c r="Q144" s="13" t="n">
        <v>54081</v>
      </c>
      <c r="R144" s="10">
        <f>T144</f>
        <v/>
      </c>
      <c r="S144" s="14" t="n">
        <v>0.093</v>
      </c>
      <c r="T144" s="13" t="n">
        <v>68350</v>
      </c>
      <c r="U144" s="10">
        <f>W144</f>
        <v/>
      </c>
      <c r="V144" s="14" t="n">
        <v>0.103</v>
      </c>
      <c r="W144" s="13" t="n">
        <v>349137</v>
      </c>
      <c r="X144" s="10">
        <f>Z144</f>
        <v/>
      </c>
      <c r="Y144" s="14" t="n">
        <v>0.123</v>
      </c>
      <c r="Z144" s="13" t="n">
        <v>418961</v>
      </c>
      <c r="AA144" s="10" t="n">
        <v>999999999</v>
      </c>
    </row>
    <row r="145">
      <c r="A145" s="12" t="inlineStr">
        <is>
          <t>CA</t>
        </is>
      </c>
      <c r="B145" s="12" t="inlineStr">
        <is>
          <t>MFJ</t>
        </is>
      </c>
      <c r="C145" s="7">
        <f>A145&amp;"|"&amp;B145</f>
        <v/>
      </c>
      <c r="D145" s="14" t="n">
        <v>0.01</v>
      </c>
      <c r="E145" s="13" t="n">
        <v>0</v>
      </c>
      <c r="F145" s="10">
        <f>H145</f>
        <v/>
      </c>
      <c r="G145" s="14" t="n">
        <v>0.02</v>
      </c>
      <c r="H145" s="13" t="n">
        <v>20824</v>
      </c>
      <c r="I145" s="10">
        <f>K145</f>
        <v/>
      </c>
      <c r="J145" s="14" t="n">
        <v>0.04</v>
      </c>
      <c r="K145" s="13" t="n">
        <v>49368</v>
      </c>
      <c r="L145" s="10">
        <f>N145</f>
        <v/>
      </c>
      <c r="M145" s="14" t="n">
        <v>0.06</v>
      </c>
      <c r="N145" s="13" t="n">
        <v>77918</v>
      </c>
      <c r="O145" s="10">
        <f>Q145</f>
        <v/>
      </c>
      <c r="P145" s="14" t="n">
        <v>0.08</v>
      </c>
      <c r="Q145" s="13" t="n">
        <v>108162</v>
      </c>
      <c r="R145" s="10">
        <f>T145</f>
        <v/>
      </c>
      <c r="S145" s="14" t="n">
        <v>0.093</v>
      </c>
      <c r="T145" s="13" t="n">
        <v>136700</v>
      </c>
      <c r="U145" s="10">
        <f>W145</f>
        <v/>
      </c>
      <c r="V145" s="14" t="n">
        <v>0.103</v>
      </c>
      <c r="W145" s="13" t="n">
        <v>698274</v>
      </c>
      <c r="X145" s="10">
        <f>Z145</f>
        <v/>
      </c>
      <c r="Y145" s="14" t="n">
        <v>0.123</v>
      </c>
      <c r="Z145" s="13" t="n">
        <v>837922</v>
      </c>
      <c r="AA145" s="10" t="n">
        <v>999999999</v>
      </c>
    </row>
    <row r="146">
      <c r="A146" s="12" t="inlineStr">
        <is>
          <t>NY</t>
        </is>
      </c>
      <c r="B146" s="12" t="inlineStr">
        <is>
          <t>Single</t>
        </is>
      </c>
      <c r="C146" s="7">
        <f>A146&amp;"|"&amp;B146</f>
        <v/>
      </c>
      <c r="D146" s="14" t="n">
        <v>0.04</v>
      </c>
      <c r="E146" s="13" t="n">
        <v>0</v>
      </c>
      <c r="F146" s="10">
        <f>H146</f>
        <v/>
      </c>
      <c r="G146" s="14" t="n">
        <v>0.045</v>
      </c>
      <c r="H146" s="13" t="n">
        <v>8500</v>
      </c>
      <c r="I146" s="10">
        <f>K146</f>
        <v/>
      </c>
      <c r="J146" s="14" t="n">
        <v>0.0525</v>
      </c>
      <c r="K146" s="13" t="n">
        <v>11700</v>
      </c>
      <c r="L146" s="10">
        <f>N146</f>
        <v/>
      </c>
      <c r="M146" s="14" t="n">
        <v>0.055</v>
      </c>
      <c r="N146" s="13" t="n">
        <v>13900</v>
      </c>
      <c r="O146" s="10">
        <f>Q146</f>
        <v/>
      </c>
      <c r="P146" s="14" t="n">
        <v>0.06</v>
      </c>
      <c r="Q146" s="13" t="n">
        <v>80650</v>
      </c>
      <c r="R146" s="10">
        <f>T146</f>
        <v/>
      </c>
      <c r="S146" s="14" t="n">
        <v>0.06850000000000001</v>
      </c>
      <c r="T146" s="13" t="n">
        <v>215400</v>
      </c>
      <c r="U146" s="10">
        <f>W146</f>
        <v/>
      </c>
      <c r="V146" s="14" t="n">
        <v>0.0965</v>
      </c>
      <c r="W146" s="13" t="n">
        <v>1077550</v>
      </c>
      <c r="X146" s="10">
        <f>Z146</f>
        <v/>
      </c>
      <c r="Y146" s="14" t="n">
        <v>0.109</v>
      </c>
      <c r="Z146" s="13" t="n">
        <v>5000000</v>
      </c>
      <c r="AA146" s="10" t="n">
        <v>999999999</v>
      </c>
    </row>
    <row r="147">
      <c r="A147" s="12" t="inlineStr">
        <is>
          <t>NY</t>
        </is>
      </c>
      <c r="B147" s="12" t="inlineStr">
        <is>
          <t>MFJ</t>
        </is>
      </c>
      <c r="C147" s="7">
        <f>A147&amp;"|"&amp;B147</f>
        <v/>
      </c>
      <c r="D147" s="14" t="n">
        <v>0.04</v>
      </c>
      <c r="E147" s="13" t="n">
        <v>0</v>
      </c>
      <c r="F147" s="10">
        <f>H147</f>
        <v/>
      </c>
      <c r="G147" s="14" t="n">
        <v>0.045</v>
      </c>
      <c r="H147" s="13" t="n">
        <v>17150</v>
      </c>
      <c r="I147" s="10">
        <f>K147</f>
        <v/>
      </c>
      <c r="J147" s="14" t="n">
        <v>0.0525</v>
      </c>
      <c r="K147" s="13" t="n">
        <v>23600</v>
      </c>
      <c r="L147" s="10">
        <f>N147</f>
        <v/>
      </c>
      <c r="M147" s="14" t="n">
        <v>0.055</v>
      </c>
      <c r="N147" s="13" t="n">
        <v>27900</v>
      </c>
      <c r="O147" s="10">
        <f>Q147</f>
        <v/>
      </c>
      <c r="P147" s="14" t="n">
        <v>0.06</v>
      </c>
      <c r="Q147" s="13" t="n">
        <v>161550</v>
      </c>
      <c r="R147" s="10">
        <f>T147</f>
        <v/>
      </c>
      <c r="S147" s="14" t="n">
        <v>0.06850000000000001</v>
      </c>
      <c r="T147" s="13" t="n">
        <v>323200</v>
      </c>
      <c r="U147" s="10">
        <f>W147</f>
        <v/>
      </c>
      <c r="V147" s="14" t="n">
        <v>0.0965</v>
      </c>
      <c r="W147" s="13" t="n">
        <v>2155350</v>
      </c>
      <c r="X147" s="10">
        <f>Z147</f>
        <v/>
      </c>
      <c r="Y147" s="14" t="n">
        <v>0.109</v>
      </c>
      <c r="Z147" s="13" t="n">
        <v>5000000</v>
      </c>
      <c r="AA147" s="10" t="n">
        <v>999999999</v>
      </c>
    </row>
    <row r="148">
      <c r="A148" s="12" t="inlineStr">
        <is>
          <t>NJ</t>
        </is>
      </c>
      <c r="B148" s="12" t="inlineStr">
        <is>
          <t>Single</t>
        </is>
      </c>
      <c r="C148" s="7">
        <f>A148&amp;"|"&amp;B148</f>
        <v/>
      </c>
      <c r="D148" s="14" t="n">
        <v>0.014</v>
      </c>
      <c r="E148" s="13" t="n">
        <v>0</v>
      </c>
      <c r="F148" s="10">
        <f>H148</f>
        <v/>
      </c>
      <c r="G148" s="14" t="n">
        <v>0.0175</v>
      </c>
      <c r="H148" s="13" t="n">
        <v>20000</v>
      </c>
      <c r="I148" s="10">
        <f>K148</f>
        <v/>
      </c>
      <c r="J148" s="14" t="n">
        <v>0.035</v>
      </c>
      <c r="K148" s="13" t="n">
        <v>35000</v>
      </c>
      <c r="L148" s="10">
        <f>N148</f>
        <v/>
      </c>
      <c r="M148" s="14" t="n">
        <v>0.05525</v>
      </c>
      <c r="N148" s="13" t="n">
        <v>40000</v>
      </c>
      <c r="O148" s="10">
        <f>Q148</f>
        <v/>
      </c>
      <c r="P148" s="14" t="n">
        <v>0.06370000000000001</v>
      </c>
      <c r="Q148" s="13" t="n">
        <v>75000</v>
      </c>
      <c r="R148" s="10">
        <f>T148</f>
        <v/>
      </c>
      <c r="S148" s="14" t="n">
        <v>0.0897</v>
      </c>
      <c r="T148" s="13" t="n">
        <v>500000</v>
      </c>
      <c r="U148" s="10">
        <f>W148</f>
        <v/>
      </c>
      <c r="V148" s="14" t="n">
        <v>0.1075</v>
      </c>
      <c r="W148" s="13" t="n">
        <v>1000000</v>
      </c>
      <c r="X148" s="10">
        <f>Z148</f>
        <v/>
      </c>
      <c r="Y148" s="14" t="n">
        <v>0</v>
      </c>
      <c r="Z148" s="13" t="n">
        <v>999999999</v>
      </c>
      <c r="AA148" s="10" t="n">
        <v>999999999</v>
      </c>
    </row>
    <row r="149">
      <c r="A149" s="12" t="inlineStr">
        <is>
          <t>NJ</t>
        </is>
      </c>
      <c r="B149" s="12" t="inlineStr">
        <is>
          <t>MFJ</t>
        </is>
      </c>
      <c r="C149" s="7">
        <f>A149&amp;"|"&amp;B149</f>
        <v/>
      </c>
      <c r="D149" s="14" t="n">
        <v>0.014</v>
      </c>
      <c r="E149" s="13" t="n">
        <v>0</v>
      </c>
      <c r="F149" s="10">
        <f>H149</f>
        <v/>
      </c>
      <c r="G149" s="14" t="n">
        <v>0.0175</v>
      </c>
      <c r="H149" s="13" t="n">
        <v>20000</v>
      </c>
      <c r="I149" s="10">
        <f>K149</f>
        <v/>
      </c>
      <c r="J149" s="14" t="n">
        <v>0.0245</v>
      </c>
      <c r="K149" s="13" t="n">
        <v>50000</v>
      </c>
      <c r="L149" s="10">
        <f>N149</f>
        <v/>
      </c>
      <c r="M149" s="14" t="n">
        <v>0.035</v>
      </c>
      <c r="N149" s="13" t="n">
        <v>70000</v>
      </c>
      <c r="O149" s="10">
        <f>Q149</f>
        <v/>
      </c>
      <c r="P149" s="14" t="n">
        <v>0.05525</v>
      </c>
      <c r="Q149" s="13" t="n">
        <v>80000</v>
      </c>
      <c r="R149" s="10">
        <f>T149</f>
        <v/>
      </c>
      <c r="S149" s="14" t="n">
        <v>0.06370000000000001</v>
      </c>
      <c r="T149" s="13" t="n">
        <v>150000</v>
      </c>
      <c r="U149" s="10">
        <f>W149</f>
        <v/>
      </c>
      <c r="V149" s="14" t="n">
        <v>0.0897</v>
      </c>
      <c r="W149" s="13" t="n">
        <v>500000</v>
      </c>
      <c r="X149" s="10">
        <f>Z149</f>
        <v/>
      </c>
      <c r="Y149" s="14" t="n">
        <v>0.1075</v>
      </c>
      <c r="Z149" s="13" t="n">
        <v>1000000</v>
      </c>
      <c r="AA149" s="10" t="n">
        <v>999999999</v>
      </c>
    </row>
    <row r="150">
      <c r="A150" s="12" t="inlineStr">
        <is>
          <t>OR</t>
        </is>
      </c>
      <c r="B150" s="12" t="inlineStr">
        <is>
          <t>Single</t>
        </is>
      </c>
      <c r="C150" s="7">
        <f>A150&amp;"|"&amp;B150</f>
        <v/>
      </c>
      <c r="D150" s="14" t="n">
        <v>0.0475</v>
      </c>
      <c r="E150" s="13" t="n">
        <v>0</v>
      </c>
      <c r="F150" s="10">
        <f>H150</f>
        <v/>
      </c>
      <c r="G150" s="14" t="n">
        <v>0.0675</v>
      </c>
      <c r="H150" s="13" t="n">
        <v>4300</v>
      </c>
      <c r="I150" s="10">
        <f>K150</f>
        <v/>
      </c>
      <c r="J150" s="14" t="n">
        <v>0.08749999999999999</v>
      </c>
      <c r="K150" s="13" t="n">
        <v>10750</v>
      </c>
      <c r="L150" s="10">
        <f>N150</f>
        <v/>
      </c>
      <c r="M150" s="14" t="n">
        <v>0.099</v>
      </c>
      <c r="N150" s="13" t="n">
        <v>125000</v>
      </c>
      <c r="O150" s="10">
        <f>Q150</f>
        <v/>
      </c>
      <c r="P150" s="14" t="n">
        <v>0</v>
      </c>
      <c r="Q150" s="13" t="n">
        <v>999999999</v>
      </c>
      <c r="R150" s="10">
        <f>T150</f>
        <v/>
      </c>
      <c r="S150" s="14" t="n">
        <v>0</v>
      </c>
      <c r="T150" s="13" t="n">
        <v>999999999</v>
      </c>
      <c r="U150" s="10">
        <f>W150</f>
        <v/>
      </c>
      <c r="V150" s="14" t="n">
        <v>0</v>
      </c>
      <c r="W150" s="13" t="n">
        <v>999999999</v>
      </c>
      <c r="X150" s="10">
        <f>Z150</f>
        <v/>
      </c>
      <c r="Y150" s="14" t="n">
        <v>0</v>
      </c>
      <c r="Z150" s="13" t="n">
        <v>999999999</v>
      </c>
      <c r="AA150" s="10" t="n">
        <v>999999999</v>
      </c>
    </row>
    <row r="151">
      <c r="A151" s="12" t="inlineStr">
        <is>
          <t>OR</t>
        </is>
      </c>
      <c r="B151" s="12" t="inlineStr">
        <is>
          <t>MFJ</t>
        </is>
      </c>
      <c r="C151" s="7">
        <f>A151&amp;"|"&amp;B151</f>
        <v/>
      </c>
      <c r="D151" s="14" t="n">
        <v>0.0475</v>
      </c>
      <c r="E151" s="13" t="n">
        <v>0</v>
      </c>
      <c r="F151" s="10">
        <f>H151</f>
        <v/>
      </c>
      <c r="G151" s="14" t="n">
        <v>0.0675</v>
      </c>
      <c r="H151" s="13" t="n">
        <v>8600</v>
      </c>
      <c r="I151" s="10">
        <f>K151</f>
        <v/>
      </c>
      <c r="J151" s="14" t="n">
        <v>0.08749999999999999</v>
      </c>
      <c r="K151" s="13" t="n">
        <v>21500</v>
      </c>
      <c r="L151" s="10">
        <f>N151</f>
        <v/>
      </c>
      <c r="M151" s="14" t="n">
        <v>0.099</v>
      </c>
      <c r="N151" s="13" t="n">
        <v>250000</v>
      </c>
      <c r="O151" s="10">
        <f>Q151</f>
        <v/>
      </c>
      <c r="P151" s="14" t="n">
        <v>0</v>
      </c>
      <c r="Q151" s="13" t="n">
        <v>999999999</v>
      </c>
      <c r="R151" s="10">
        <f>T151</f>
        <v/>
      </c>
      <c r="S151" s="14" t="n">
        <v>0</v>
      </c>
      <c r="T151" s="13" t="n">
        <v>999999999</v>
      </c>
      <c r="U151" s="10">
        <f>W151</f>
        <v/>
      </c>
      <c r="V151" s="14" t="n">
        <v>0</v>
      </c>
      <c r="W151" s="13" t="n">
        <v>999999999</v>
      </c>
      <c r="X151" s="10">
        <f>Z151</f>
        <v/>
      </c>
      <c r="Y151" s="14" t="n">
        <v>0</v>
      </c>
      <c r="Z151" s="13" t="n">
        <v>999999999</v>
      </c>
      <c r="AA151" s="10" t="n">
        <v>999999999</v>
      </c>
    </row>
    <row r="152">
      <c r="A152" s="12" t="inlineStr">
        <is>
          <t>MN</t>
        </is>
      </c>
      <c r="B152" s="12" t="inlineStr">
        <is>
          <t>Single</t>
        </is>
      </c>
      <c r="C152" s="7">
        <f>A152&amp;"|"&amp;B152</f>
        <v/>
      </c>
      <c r="D152" s="14" t="n">
        <v>0.0535</v>
      </c>
      <c r="E152" s="13" t="n">
        <v>0</v>
      </c>
      <c r="F152" s="10">
        <f>H152</f>
        <v/>
      </c>
      <c r="G152" s="14" t="n">
        <v>0.068</v>
      </c>
      <c r="H152" s="13" t="n">
        <v>31690</v>
      </c>
      <c r="I152" s="10">
        <f>K152</f>
        <v/>
      </c>
      <c r="J152" s="14" t="n">
        <v>0.0785</v>
      </c>
      <c r="K152" s="13" t="n">
        <v>104090</v>
      </c>
      <c r="L152" s="10">
        <f>N152</f>
        <v/>
      </c>
      <c r="M152" s="14" t="n">
        <v>0.0985</v>
      </c>
      <c r="N152" s="13" t="n">
        <v>193240</v>
      </c>
      <c r="O152" s="10">
        <f>Q152</f>
        <v/>
      </c>
      <c r="P152" s="14" t="n">
        <v>0</v>
      </c>
      <c r="Q152" s="13" t="n">
        <v>999999999</v>
      </c>
      <c r="R152" s="10">
        <f>T152</f>
        <v/>
      </c>
      <c r="S152" s="14" t="n">
        <v>0</v>
      </c>
      <c r="T152" s="13" t="n">
        <v>999999999</v>
      </c>
      <c r="U152" s="10">
        <f>W152</f>
        <v/>
      </c>
      <c r="V152" s="14" t="n">
        <v>0</v>
      </c>
      <c r="W152" s="13" t="n">
        <v>999999999</v>
      </c>
      <c r="X152" s="10">
        <f>Z152</f>
        <v/>
      </c>
      <c r="Y152" s="14" t="n">
        <v>0</v>
      </c>
      <c r="Z152" s="13" t="n">
        <v>999999999</v>
      </c>
      <c r="AA152" s="10" t="n">
        <v>999999999</v>
      </c>
    </row>
    <row r="153">
      <c r="A153" s="12" t="inlineStr">
        <is>
          <t>MN</t>
        </is>
      </c>
      <c r="B153" s="12" t="inlineStr">
        <is>
          <t>MFJ</t>
        </is>
      </c>
      <c r="C153" s="7">
        <f>A153&amp;"|"&amp;B153</f>
        <v/>
      </c>
      <c r="D153" s="14" t="n">
        <v>0.0535</v>
      </c>
      <c r="E153" s="13" t="n">
        <v>0</v>
      </c>
      <c r="F153" s="10">
        <f>H153</f>
        <v/>
      </c>
      <c r="G153" s="14" t="n">
        <v>0.068</v>
      </c>
      <c r="H153" s="13" t="n">
        <v>46330</v>
      </c>
      <c r="I153" s="10">
        <f>K153</f>
        <v/>
      </c>
      <c r="J153" s="14" t="n">
        <v>0.0785</v>
      </c>
      <c r="K153" s="13" t="n">
        <v>184040</v>
      </c>
      <c r="L153" s="10">
        <f>N153</f>
        <v/>
      </c>
      <c r="M153" s="14" t="n">
        <v>0.0985</v>
      </c>
      <c r="N153" s="13" t="n">
        <v>321450</v>
      </c>
      <c r="O153" s="10">
        <f>Q153</f>
        <v/>
      </c>
      <c r="P153" s="14" t="n">
        <v>0</v>
      </c>
      <c r="Q153" s="13" t="n">
        <v>999999999</v>
      </c>
      <c r="R153" s="10">
        <f>T153</f>
        <v/>
      </c>
      <c r="S153" s="14" t="n">
        <v>0</v>
      </c>
      <c r="T153" s="13" t="n">
        <v>999999999</v>
      </c>
      <c r="U153" s="10">
        <f>W153</f>
        <v/>
      </c>
      <c r="V153" s="14" t="n">
        <v>0</v>
      </c>
      <c r="W153" s="13" t="n">
        <v>999999999</v>
      </c>
      <c r="X153" s="10">
        <f>Z153</f>
        <v/>
      </c>
      <c r="Y153" s="14" t="n">
        <v>0</v>
      </c>
      <c r="Z153" s="13" t="n">
        <v>999999999</v>
      </c>
      <c r="AA153" s="10" t="n">
        <v>999999999</v>
      </c>
    </row>
    <row r="154">
      <c r="A154" s="12" t="inlineStr">
        <is>
          <t>HI</t>
        </is>
      </c>
      <c r="B154" s="12" t="inlineStr">
        <is>
          <t>Single</t>
        </is>
      </c>
      <c r="C154" s="7">
        <f>A154&amp;"|"&amp;B154</f>
        <v/>
      </c>
      <c r="D154" s="14" t="n">
        <v>0.014</v>
      </c>
      <c r="E154" s="13" t="n">
        <v>0</v>
      </c>
      <c r="F154" s="10">
        <f>H154</f>
        <v/>
      </c>
      <c r="G154" s="14" t="n">
        <v>0.04</v>
      </c>
      <c r="H154" s="13" t="n">
        <v>9600</v>
      </c>
      <c r="I154" s="10">
        <f>K154</f>
        <v/>
      </c>
      <c r="J154" s="14" t="n">
        <v>0.064</v>
      </c>
      <c r="K154" s="13" t="n">
        <v>24000</v>
      </c>
      <c r="L154" s="10">
        <f>N154</f>
        <v/>
      </c>
      <c r="M154" s="14" t="n">
        <v>0.076</v>
      </c>
      <c r="N154" s="13" t="n">
        <v>125000</v>
      </c>
      <c r="O154" s="10">
        <f>Q154</f>
        <v/>
      </c>
      <c r="P154" s="14" t="n">
        <v>0.08749999999999999</v>
      </c>
      <c r="Q154" s="13" t="n">
        <v>225000</v>
      </c>
      <c r="R154" s="10">
        <f>T154</f>
        <v/>
      </c>
      <c r="S154" s="14" t="n">
        <v>0.1</v>
      </c>
      <c r="T154" s="13" t="n">
        <v>350000</v>
      </c>
      <c r="U154" s="10">
        <f>W154</f>
        <v/>
      </c>
      <c r="V154" s="14" t="n">
        <v>0.11</v>
      </c>
      <c r="W154" s="13" t="n">
        <v>450000</v>
      </c>
      <c r="X154" s="10">
        <f>Z154</f>
        <v/>
      </c>
      <c r="Y154" s="14" t="n">
        <v>0</v>
      </c>
      <c r="Z154" s="13" t="n">
        <v>999999999</v>
      </c>
      <c r="AA154" s="10" t="n">
        <v>999999999</v>
      </c>
    </row>
    <row r="155">
      <c r="A155" s="12" t="inlineStr">
        <is>
          <t>HI</t>
        </is>
      </c>
      <c r="B155" s="12" t="inlineStr">
        <is>
          <t>MFJ</t>
        </is>
      </c>
      <c r="C155" s="7">
        <f>A155&amp;"|"&amp;B155</f>
        <v/>
      </c>
      <c r="D155" s="14" t="n">
        <v>0.014</v>
      </c>
      <c r="E155" s="13" t="n">
        <v>0</v>
      </c>
      <c r="F155" s="10">
        <f>H155</f>
        <v/>
      </c>
      <c r="G155" s="14" t="n">
        <v>0.04</v>
      </c>
      <c r="H155" s="13" t="n">
        <v>19200</v>
      </c>
      <c r="I155" s="10">
        <f>K155</f>
        <v/>
      </c>
      <c r="J155" s="14" t="n">
        <v>0.064</v>
      </c>
      <c r="K155" s="13" t="n">
        <v>48000</v>
      </c>
      <c r="L155" s="10">
        <f>N155</f>
        <v/>
      </c>
      <c r="M155" s="14" t="n">
        <v>0.076</v>
      </c>
      <c r="N155" s="13" t="n">
        <v>250000</v>
      </c>
      <c r="O155" s="10">
        <f>Q155</f>
        <v/>
      </c>
      <c r="P155" s="14" t="n">
        <v>0.08749999999999999</v>
      </c>
      <c r="Q155" s="13" t="n">
        <v>450000</v>
      </c>
      <c r="R155" s="10">
        <f>T155</f>
        <v/>
      </c>
      <c r="S155" s="14" t="n">
        <v>0.1</v>
      </c>
      <c r="T155" s="13" t="n">
        <v>700000</v>
      </c>
      <c r="U155" s="10">
        <f>W155</f>
        <v/>
      </c>
      <c r="V155" s="14" t="n">
        <v>0.11</v>
      </c>
      <c r="W155" s="13" t="n">
        <v>900000</v>
      </c>
      <c r="X155" s="10">
        <f>Z155</f>
        <v/>
      </c>
      <c r="Y155" s="14" t="n">
        <v>0</v>
      </c>
      <c r="Z155" s="13" t="n">
        <v>999999999</v>
      </c>
      <c r="AA155" s="10" t="n">
        <v>999999999</v>
      </c>
    </row>
    <row r="156">
      <c r="A156" s="12" t="inlineStr">
        <is>
          <t>VA</t>
        </is>
      </c>
      <c r="B156" s="12" t="inlineStr">
        <is>
          <t>Single</t>
        </is>
      </c>
      <c r="C156" s="7">
        <f>A156&amp;"|"&amp;B156</f>
        <v/>
      </c>
      <c r="D156" s="14" t="n">
        <v>0.02</v>
      </c>
      <c r="E156" s="13" t="n">
        <v>0</v>
      </c>
      <c r="F156" s="10">
        <f>H156</f>
        <v/>
      </c>
      <c r="G156" s="14" t="n">
        <v>0.03</v>
      </c>
      <c r="H156" s="13" t="n">
        <v>3000</v>
      </c>
      <c r="I156" s="10">
        <f>K156</f>
        <v/>
      </c>
      <c r="J156" s="14" t="n">
        <v>0.05</v>
      </c>
      <c r="K156" s="13" t="n">
        <v>5000</v>
      </c>
      <c r="L156" s="10">
        <f>N156</f>
        <v/>
      </c>
      <c r="M156" s="14" t="n">
        <v>0.0575</v>
      </c>
      <c r="N156" s="13" t="n">
        <v>17000</v>
      </c>
      <c r="O156" s="10">
        <f>Q156</f>
        <v/>
      </c>
      <c r="P156" s="14" t="n">
        <v>0</v>
      </c>
      <c r="Q156" s="13" t="n">
        <v>999999999</v>
      </c>
      <c r="R156" s="10">
        <f>T156</f>
        <v/>
      </c>
      <c r="S156" s="14" t="n">
        <v>0</v>
      </c>
      <c r="T156" s="13" t="n">
        <v>999999999</v>
      </c>
      <c r="U156" s="10">
        <f>W156</f>
        <v/>
      </c>
      <c r="V156" s="14" t="n">
        <v>0</v>
      </c>
      <c r="W156" s="13" t="n">
        <v>999999999</v>
      </c>
      <c r="X156" s="10">
        <f>Z156</f>
        <v/>
      </c>
      <c r="Y156" s="14" t="n">
        <v>0</v>
      </c>
      <c r="Z156" s="13" t="n">
        <v>999999999</v>
      </c>
      <c r="AA156" s="10" t="n">
        <v>999999999</v>
      </c>
    </row>
    <row r="157">
      <c r="A157" s="12" t="inlineStr">
        <is>
          <t>VA</t>
        </is>
      </c>
      <c r="B157" s="12" t="inlineStr">
        <is>
          <t>MFJ</t>
        </is>
      </c>
      <c r="C157" s="7">
        <f>A157&amp;"|"&amp;B157</f>
        <v/>
      </c>
      <c r="D157" s="14" t="n">
        <v>0.02</v>
      </c>
      <c r="E157" s="13" t="n">
        <v>0</v>
      </c>
      <c r="F157" s="10">
        <f>H157</f>
        <v/>
      </c>
      <c r="G157" s="14" t="n">
        <v>0.03</v>
      </c>
      <c r="H157" s="13" t="n">
        <v>3000</v>
      </c>
      <c r="I157" s="10">
        <f>K157</f>
        <v/>
      </c>
      <c r="J157" s="14" t="n">
        <v>0.05</v>
      </c>
      <c r="K157" s="13" t="n">
        <v>5000</v>
      </c>
      <c r="L157" s="10">
        <f>N157</f>
        <v/>
      </c>
      <c r="M157" s="14" t="n">
        <v>0.0575</v>
      </c>
      <c r="N157" s="13" t="n">
        <v>17000</v>
      </c>
      <c r="O157" s="10">
        <f>Q157</f>
        <v/>
      </c>
      <c r="P157" s="14" t="n">
        <v>0</v>
      </c>
      <c r="Q157" s="13" t="n">
        <v>999999999</v>
      </c>
      <c r="R157" s="10">
        <f>T157</f>
        <v/>
      </c>
      <c r="S157" s="14" t="n">
        <v>0</v>
      </c>
      <c r="T157" s="13" t="n">
        <v>999999999</v>
      </c>
      <c r="U157" s="10">
        <f>W157</f>
        <v/>
      </c>
      <c r="V157" s="14" t="n">
        <v>0</v>
      </c>
      <c r="W157" s="13" t="n">
        <v>999999999</v>
      </c>
      <c r="X157" s="10">
        <f>Z157</f>
        <v/>
      </c>
      <c r="Y157" s="14" t="n">
        <v>0</v>
      </c>
      <c r="Z157" s="13" t="n">
        <v>999999999</v>
      </c>
      <c r="AA157" s="10" t="n">
        <v>999999999</v>
      </c>
    </row>
    <row r="158">
      <c r="A158" s="12" t="inlineStr">
        <is>
          <t>SC</t>
        </is>
      </c>
      <c r="B158" s="12" t="inlineStr">
        <is>
          <t>Single</t>
        </is>
      </c>
      <c r="C158" s="7">
        <f>A158&amp;"|"&amp;B158</f>
        <v/>
      </c>
      <c r="D158" s="14" t="n">
        <v>0</v>
      </c>
      <c r="E158" s="13" t="n">
        <v>0</v>
      </c>
      <c r="F158" s="10">
        <f>H158</f>
        <v/>
      </c>
      <c r="G158" s="14" t="n">
        <v>0.03</v>
      </c>
      <c r="H158" s="13" t="n">
        <v>3200</v>
      </c>
      <c r="I158" s="10">
        <f>K158</f>
        <v/>
      </c>
      <c r="J158" s="14" t="n">
        <v>0.062</v>
      </c>
      <c r="K158" s="13" t="n">
        <v>16040</v>
      </c>
      <c r="L158" s="10">
        <f>N158</f>
        <v/>
      </c>
      <c r="M158" s="14" t="n">
        <v>0</v>
      </c>
      <c r="N158" s="13" t="n">
        <v>999999999</v>
      </c>
      <c r="O158" s="10">
        <f>Q158</f>
        <v/>
      </c>
      <c r="P158" s="14" t="n">
        <v>0</v>
      </c>
      <c r="Q158" s="13" t="n">
        <v>999999999</v>
      </c>
      <c r="R158" s="10">
        <f>T158</f>
        <v/>
      </c>
      <c r="S158" s="14" t="n">
        <v>0</v>
      </c>
      <c r="T158" s="13" t="n">
        <v>999999999</v>
      </c>
      <c r="U158" s="10">
        <f>W158</f>
        <v/>
      </c>
      <c r="V158" s="14" t="n">
        <v>0</v>
      </c>
      <c r="W158" s="13" t="n">
        <v>999999999</v>
      </c>
      <c r="X158" s="10">
        <f>Z158</f>
        <v/>
      </c>
      <c r="Y158" s="14" t="n">
        <v>0</v>
      </c>
      <c r="Z158" s="13" t="n">
        <v>999999999</v>
      </c>
      <c r="AA158" s="10" t="n">
        <v>999999999</v>
      </c>
    </row>
    <row r="159">
      <c r="A159" s="12" t="inlineStr">
        <is>
          <t>SC</t>
        </is>
      </c>
      <c r="B159" s="12" t="inlineStr">
        <is>
          <t>MFJ</t>
        </is>
      </c>
      <c r="C159" s="7">
        <f>A159&amp;"|"&amp;B159</f>
        <v/>
      </c>
      <c r="D159" s="14" t="n">
        <v>0</v>
      </c>
      <c r="E159" s="13" t="n">
        <v>0</v>
      </c>
      <c r="F159" s="10">
        <f>H159</f>
        <v/>
      </c>
      <c r="G159" s="14" t="n">
        <v>0.03</v>
      </c>
      <c r="H159" s="13" t="n">
        <v>3200</v>
      </c>
      <c r="I159" s="10">
        <f>K159</f>
        <v/>
      </c>
      <c r="J159" s="14" t="n">
        <v>0.062</v>
      </c>
      <c r="K159" s="13" t="n">
        <v>16040</v>
      </c>
      <c r="L159" s="10">
        <f>N159</f>
        <v/>
      </c>
      <c r="M159" s="14" t="n">
        <v>0</v>
      </c>
      <c r="N159" s="13" t="n">
        <v>999999999</v>
      </c>
      <c r="O159" s="10">
        <f>Q159</f>
        <v/>
      </c>
      <c r="P159" s="14" t="n">
        <v>0</v>
      </c>
      <c r="Q159" s="13" t="n">
        <v>999999999</v>
      </c>
      <c r="R159" s="10">
        <f>T159</f>
        <v/>
      </c>
      <c r="S159" s="14" t="n">
        <v>0</v>
      </c>
      <c r="T159" s="13" t="n">
        <v>999999999</v>
      </c>
      <c r="U159" s="10">
        <f>W159</f>
        <v/>
      </c>
      <c r="V159" s="14" t="n">
        <v>0</v>
      </c>
      <c r="W159" s="13" t="n">
        <v>999999999</v>
      </c>
      <c r="X159" s="10">
        <f>Z159</f>
        <v/>
      </c>
      <c r="Y159" s="14" t="n">
        <v>0</v>
      </c>
      <c r="Z159" s="13" t="n">
        <v>999999999</v>
      </c>
      <c r="AA159" s="10" t="n">
        <v>999999999</v>
      </c>
    </row>
    <row r="160">
      <c r="A160" s="12" t="inlineStr">
        <is>
          <t>MD</t>
        </is>
      </c>
      <c r="B160" s="12" t="inlineStr">
        <is>
          <t>Single</t>
        </is>
      </c>
      <c r="C160" s="7">
        <f>A160&amp;"|"&amp;B160</f>
        <v/>
      </c>
      <c r="D160" s="14" t="n">
        <v>0.02</v>
      </c>
      <c r="E160" s="13" t="n">
        <v>0</v>
      </c>
      <c r="F160" s="10">
        <f>H160</f>
        <v/>
      </c>
      <c r="G160" s="14" t="n">
        <v>0.03</v>
      </c>
      <c r="H160" s="13" t="n">
        <v>1000</v>
      </c>
      <c r="I160" s="10">
        <f>K160</f>
        <v/>
      </c>
      <c r="J160" s="14" t="n">
        <v>0.04</v>
      </c>
      <c r="K160" s="13" t="n">
        <v>2000</v>
      </c>
      <c r="L160" s="10">
        <f>N160</f>
        <v/>
      </c>
      <c r="M160" s="14" t="n">
        <v>0.0475</v>
      </c>
      <c r="N160" s="13" t="n">
        <v>3000</v>
      </c>
      <c r="O160" s="10">
        <f>Q160</f>
        <v/>
      </c>
      <c r="P160" s="14" t="n">
        <v>0.05</v>
      </c>
      <c r="Q160" s="13" t="n">
        <v>100000</v>
      </c>
      <c r="R160" s="10">
        <f>T160</f>
        <v/>
      </c>
      <c r="S160" s="14" t="n">
        <v>0.0525</v>
      </c>
      <c r="T160" s="13" t="n">
        <v>125000</v>
      </c>
      <c r="U160" s="10">
        <f>W160</f>
        <v/>
      </c>
      <c r="V160" s="14" t="n">
        <v>0.055</v>
      </c>
      <c r="W160" s="13" t="n">
        <v>150000</v>
      </c>
      <c r="X160" s="10">
        <f>Z160</f>
        <v/>
      </c>
      <c r="Y160" s="14" t="n">
        <v>0.0575</v>
      </c>
      <c r="Z160" s="13" t="n">
        <v>250000</v>
      </c>
      <c r="AA160" s="10" t="n">
        <v>999999999</v>
      </c>
    </row>
    <row r="161">
      <c r="A161" s="12" t="inlineStr">
        <is>
          <t>MD</t>
        </is>
      </c>
      <c r="B161" s="12" t="inlineStr">
        <is>
          <t>MFJ</t>
        </is>
      </c>
      <c r="C161" s="7">
        <f>A161&amp;"|"&amp;B161</f>
        <v/>
      </c>
      <c r="D161" s="14" t="n">
        <v>0.02</v>
      </c>
      <c r="E161" s="13" t="n">
        <v>0</v>
      </c>
      <c r="F161" s="10">
        <f>H161</f>
        <v/>
      </c>
      <c r="G161" s="14" t="n">
        <v>0.03</v>
      </c>
      <c r="H161" s="13" t="n">
        <v>1000</v>
      </c>
      <c r="I161" s="10">
        <f>K161</f>
        <v/>
      </c>
      <c r="J161" s="14" t="n">
        <v>0.04</v>
      </c>
      <c r="K161" s="13" t="n">
        <v>2000</v>
      </c>
      <c r="L161" s="10">
        <f>N161</f>
        <v/>
      </c>
      <c r="M161" s="14" t="n">
        <v>0.0475</v>
      </c>
      <c r="N161" s="13" t="n">
        <v>3000</v>
      </c>
      <c r="O161" s="10">
        <f>Q161</f>
        <v/>
      </c>
      <c r="P161" s="14" t="n">
        <v>0.05</v>
      </c>
      <c r="Q161" s="13" t="n">
        <v>150000</v>
      </c>
      <c r="R161" s="10">
        <f>T161</f>
        <v/>
      </c>
      <c r="S161" s="14" t="n">
        <v>0.0525</v>
      </c>
      <c r="T161" s="13" t="n">
        <v>175000</v>
      </c>
      <c r="U161" s="10">
        <f>W161</f>
        <v/>
      </c>
      <c r="V161" s="14" t="n">
        <v>0.055</v>
      </c>
      <c r="W161" s="13" t="n">
        <v>225000</v>
      </c>
      <c r="X161" s="10">
        <f>Z161</f>
        <v/>
      </c>
      <c r="Y161" s="14" t="n">
        <v>0.0575</v>
      </c>
      <c r="Z161" s="13" t="n">
        <v>300000</v>
      </c>
      <c r="AA161" s="10" t="n">
        <v>999999999</v>
      </c>
    </row>
    <row r="162">
      <c r="A162" s="12" t="inlineStr">
        <is>
          <t>WI</t>
        </is>
      </c>
      <c r="B162" s="12" t="inlineStr">
        <is>
          <t>Single</t>
        </is>
      </c>
      <c r="C162" s="7">
        <f>A162&amp;"|"&amp;B162</f>
        <v/>
      </c>
      <c r="D162" s="14" t="n">
        <v>0.035</v>
      </c>
      <c r="E162" s="13" t="n">
        <v>0</v>
      </c>
      <c r="F162" s="10">
        <f>H162</f>
        <v/>
      </c>
      <c r="G162" s="14" t="n">
        <v>0.044</v>
      </c>
      <c r="H162" s="13" t="n">
        <v>14320</v>
      </c>
      <c r="I162" s="10">
        <f>K162</f>
        <v/>
      </c>
      <c r="J162" s="14" t="n">
        <v>0.053</v>
      </c>
      <c r="K162" s="13" t="n">
        <v>28640</v>
      </c>
      <c r="L162" s="10">
        <f>N162</f>
        <v/>
      </c>
      <c r="M162" s="14" t="n">
        <v>0.0765</v>
      </c>
      <c r="N162" s="13" t="n">
        <v>315310</v>
      </c>
      <c r="O162" s="10">
        <f>Q162</f>
        <v/>
      </c>
      <c r="P162" s="14" t="n">
        <v>0</v>
      </c>
      <c r="Q162" s="13" t="n">
        <v>999999999</v>
      </c>
      <c r="R162" s="10">
        <f>T162</f>
        <v/>
      </c>
      <c r="S162" s="14" t="n">
        <v>0</v>
      </c>
      <c r="T162" s="13" t="n">
        <v>999999999</v>
      </c>
      <c r="U162" s="10">
        <f>W162</f>
        <v/>
      </c>
      <c r="V162" s="14" t="n">
        <v>0</v>
      </c>
      <c r="W162" s="13" t="n">
        <v>999999999</v>
      </c>
      <c r="X162" s="10">
        <f>Z162</f>
        <v/>
      </c>
      <c r="Y162" s="14" t="n">
        <v>0</v>
      </c>
      <c r="Z162" s="13" t="n">
        <v>999999999</v>
      </c>
      <c r="AA162" s="10" t="n">
        <v>999999999</v>
      </c>
    </row>
    <row r="163">
      <c r="A163" s="12" t="inlineStr">
        <is>
          <t>WI</t>
        </is>
      </c>
      <c r="B163" s="12" t="inlineStr">
        <is>
          <t>MFJ</t>
        </is>
      </c>
      <c r="C163" s="7">
        <f>A163&amp;"|"&amp;B163</f>
        <v/>
      </c>
      <c r="D163" s="14" t="n">
        <v>0.035</v>
      </c>
      <c r="E163" s="13" t="n">
        <v>0</v>
      </c>
      <c r="F163" s="10">
        <f>H163</f>
        <v/>
      </c>
      <c r="G163" s="14" t="n">
        <v>0.044</v>
      </c>
      <c r="H163" s="13" t="n">
        <v>19090</v>
      </c>
      <c r="I163" s="10">
        <f>K163</f>
        <v/>
      </c>
      <c r="J163" s="14" t="n">
        <v>0.053</v>
      </c>
      <c r="K163" s="13" t="n">
        <v>38190</v>
      </c>
      <c r="L163" s="10">
        <f>N163</f>
        <v/>
      </c>
      <c r="M163" s="14" t="n">
        <v>0.0765</v>
      </c>
      <c r="N163" s="13" t="n">
        <v>420420</v>
      </c>
      <c r="O163" s="10">
        <f>Q163</f>
        <v/>
      </c>
      <c r="P163" s="14" t="n">
        <v>0</v>
      </c>
      <c r="Q163" s="13" t="n">
        <v>999999999</v>
      </c>
      <c r="R163" s="10">
        <f>T163</f>
        <v/>
      </c>
      <c r="S163" s="14" t="n">
        <v>0</v>
      </c>
      <c r="T163" s="13" t="n">
        <v>999999999</v>
      </c>
      <c r="U163" s="10">
        <f>W163</f>
        <v/>
      </c>
      <c r="V163" s="14" t="n">
        <v>0</v>
      </c>
      <c r="W163" s="13" t="n">
        <v>999999999</v>
      </c>
      <c r="X163" s="10">
        <f>Z163</f>
        <v/>
      </c>
      <c r="Y163" s="14" t="n">
        <v>0</v>
      </c>
      <c r="Z163" s="13" t="n">
        <v>999999999</v>
      </c>
      <c r="AA163" s="10" t="n">
        <v>999999999</v>
      </c>
    </row>
    <row r="164">
      <c r="A164" s="12" t="inlineStr">
        <is>
          <t>OH</t>
        </is>
      </c>
      <c r="B164" s="12" t="inlineStr">
        <is>
          <t>Single</t>
        </is>
      </c>
      <c r="C164" s="7">
        <f>A164&amp;"|"&amp;B164</f>
        <v/>
      </c>
      <c r="D164" s="14" t="n">
        <v>0</v>
      </c>
      <c r="E164" s="13" t="n">
        <v>0</v>
      </c>
      <c r="F164" s="10">
        <f>H164</f>
        <v/>
      </c>
      <c r="G164" s="14" t="n">
        <v>0.0275</v>
      </c>
      <c r="H164" s="13" t="n">
        <v>26050</v>
      </c>
      <c r="I164" s="10">
        <f>K164</f>
        <v/>
      </c>
      <c r="J164" s="14" t="n">
        <v>0.035</v>
      </c>
      <c r="K164" s="13" t="n">
        <v>100000</v>
      </c>
      <c r="L164" s="10">
        <f>N164</f>
        <v/>
      </c>
      <c r="M164" s="14" t="n">
        <v>0</v>
      </c>
      <c r="N164" s="13" t="n">
        <v>999999999</v>
      </c>
      <c r="O164" s="10">
        <f>Q164</f>
        <v/>
      </c>
      <c r="P164" s="14" t="n">
        <v>0</v>
      </c>
      <c r="Q164" s="13" t="n">
        <v>999999999</v>
      </c>
      <c r="R164" s="10">
        <f>T164</f>
        <v/>
      </c>
      <c r="S164" s="14" t="n">
        <v>0</v>
      </c>
      <c r="T164" s="13" t="n">
        <v>999999999</v>
      </c>
      <c r="U164" s="10">
        <f>W164</f>
        <v/>
      </c>
      <c r="V164" s="14" t="n">
        <v>0</v>
      </c>
      <c r="W164" s="13" t="n">
        <v>999999999</v>
      </c>
      <c r="X164" s="10">
        <f>Z164</f>
        <v/>
      </c>
      <c r="Y164" s="14" t="n">
        <v>0</v>
      </c>
      <c r="Z164" s="13" t="n">
        <v>999999999</v>
      </c>
      <c r="AA164" s="10" t="n">
        <v>999999999</v>
      </c>
    </row>
    <row r="165">
      <c r="A165" s="12" t="inlineStr">
        <is>
          <t>OH</t>
        </is>
      </c>
      <c r="B165" s="12" t="inlineStr">
        <is>
          <t>MFJ</t>
        </is>
      </c>
      <c r="C165" s="7">
        <f>A165&amp;"|"&amp;B165</f>
        <v/>
      </c>
      <c r="D165" s="14" t="n">
        <v>0</v>
      </c>
      <c r="E165" s="13" t="n">
        <v>0</v>
      </c>
      <c r="F165" s="10">
        <f>H165</f>
        <v/>
      </c>
      <c r="G165" s="14" t="n">
        <v>0.0275</v>
      </c>
      <c r="H165" s="13" t="n">
        <v>26050</v>
      </c>
      <c r="I165" s="10">
        <f>K165</f>
        <v/>
      </c>
      <c r="J165" s="14" t="n">
        <v>0.035</v>
      </c>
      <c r="K165" s="13" t="n">
        <v>100000</v>
      </c>
      <c r="L165" s="10">
        <f>N165</f>
        <v/>
      </c>
      <c r="M165" s="14" t="n">
        <v>0</v>
      </c>
      <c r="N165" s="13" t="n">
        <v>999999999</v>
      </c>
      <c r="O165" s="10">
        <f>Q165</f>
        <v/>
      </c>
      <c r="P165" s="14" t="n">
        <v>0</v>
      </c>
      <c r="Q165" s="13" t="n">
        <v>999999999</v>
      </c>
      <c r="R165" s="10">
        <f>T165</f>
        <v/>
      </c>
      <c r="S165" s="14" t="n">
        <v>0</v>
      </c>
      <c r="T165" s="13" t="n">
        <v>999999999</v>
      </c>
      <c r="U165" s="10">
        <f>W165</f>
        <v/>
      </c>
      <c r="V165" s="14" t="n">
        <v>0</v>
      </c>
      <c r="W165" s="13" t="n">
        <v>999999999</v>
      </c>
      <c r="X165" s="10">
        <f>Z165</f>
        <v/>
      </c>
      <c r="Y165" s="14" t="n">
        <v>0</v>
      </c>
      <c r="Z165" s="13" t="n">
        <v>999999999</v>
      </c>
      <c r="AA165" s="10" t="n">
        <v>999999999</v>
      </c>
    </row>
    <row r="166">
      <c r="A166" s="12" t="inlineStr">
        <is>
          <t>DC</t>
        </is>
      </c>
      <c r="B166" s="12" t="inlineStr">
        <is>
          <t>Single</t>
        </is>
      </c>
      <c r="C166" s="7">
        <f>A166&amp;"|"&amp;B166</f>
        <v/>
      </c>
      <c r="D166" s="14" t="n">
        <v>0.04</v>
      </c>
      <c r="E166" s="13" t="n">
        <v>0</v>
      </c>
      <c r="F166" s="10">
        <f>H166</f>
        <v/>
      </c>
      <c r="G166" s="14" t="n">
        <v>0.06</v>
      </c>
      <c r="H166" s="13" t="n">
        <v>10000</v>
      </c>
      <c r="I166" s="10">
        <f>K166</f>
        <v/>
      </c>
      <c r="J166" s="14" t="n">
        <v>0.065</v>
      </c>
      <c r="K166" s="13" t="n">
        <v>40000</v>
      </c>
      <c r="L166" s="10">
        <f>N166</f>
        <v/>
      </c>
      <c r="M166" s="14" t="n">
        <v>0.08500000000000001</v>
      </c>
      <c r="N166" s="13" t="n">
        <v>60000</v>
      </c>
      <c r="O166" s="10">
        <f>Q166</f>
        <v/>
      </c>
      <c r="P166" s="14" t="n">
        <v>0.0925</v>
      </c>
      <c r="Q166" s="13" t="n">
        <v>250000</v>
      </c>
      <c r="R166" s="10">
        <f>T166</f>
        <v/>
      </c>
      <c r="S166" s="14" t="n">
        <v>0.0975</v>
      </c>
      <c r="T166" s="13" t="n">
        <v>500000</v>
      </c>
      <c r="U166" s="10">
        <f>W166</f>
        <v/>
      </c>
      <c r="V166" s="14" t="n">
        <v>0</v>
      </c>
      <c r="W166" s="13" t="n">
        <v>999999999</v>
      </c>
      <c r="X166" s="10">
        <f>Z166</f>
        <v/>
      </c>
      <c r="Y166" s="14" t="n">
        <v>0</v>
      </c>
      <c r="Z166" s="13" t="n">
        <v>999999999</v>
      </c>
      <c r="AA166" s="10" t="n">
        <v>999999999</v>
      </c>
    </row>
    <row r="167">
      <c r="A167" s="12" t="inlineStr">
        <is>
          <t>DC</t>
        </is>
      </c>
      <c r="B167" s="12" t="inlineStr">
        <is>
          <t>MFJ</t>
        </is>
      </c>
      <c r="C167" s="7">
        <f>A167&amp;"|"&amp;B167</f>
        <v/>
      </c>
      <c r="D167" s="14" t="n">
        <v>0.04</v>
      </c>
      <c r="E167" s="13" t="n">
        <v>0</v>
      </c>
      <c r="F167" s="10">
        <f>H167</f>
        <v/>
      </c>
      <c r="G167" s="14" t="n">
        <v>0.06</v>
      </c>
      <c r="H167" s="13" t="n">
        <v>10000</v>
      </c>
      <c r="I167" s="10">
        <f>K167</f>
        <v/>
      </c>
      <c r="J167" s="14" t="n">
        <v>0.065</v>
      </c>
      <c r="K167" s="13" t="n">
        <v>40000</v>
      </c>
      <c r="L167" s="10">
        <f>N167</f>
        <v/>
      </c>
      <c r="M167" s="14" t="n">
        <v>0.08500000000000001</v>
      </c>
      <c r="N167" s="13" t="n">
        <v>60000</v>
      </c>
      <c r="O167" s="10">
        <f>Q167</f>
        <v/>
      </c>
      <c r="P167" s="14" t="n">
        <v>0.0925</v>
      </c>
      <c r="Q167" s="13" t="n">
        <v>250000</v>
      </c>
      <c r="R167" s="10">
        <f>T167</f>
        <v/>
      </c>
      <c r="S167" s="14" t="n">
        <v>0.0975</v>
      </c>
      <c r="T167" s="13" t="n">
        <v>500000</v>
      </c>
      <c r="U167" s="10">
        <f>W167</f>
        <v/>
      </c>
      <c r="V167" s="14" t="n">
        <v>0</v>
      </c>
      <c r="W167" s="13" t="n">
        <v>999999999</v>
      </c>
      <c r="X167" s="10">
        <f>Z167</f>
        <v/>
      </c>
      <c r="Y167" s="14" t="n">
        <v>0</v>
      </c>
      <c r="Z167" s="13" t="n">
        <v>999999999</v>
      </c>
      <c r="AA167" s="10" t="n">
        <v>999999999</v>
      </c>
    </row>
    <row r="168">
      <c r="A168" s="12" t="inlineStr">
        <is>
          <t>OTHER</t>
        </is>
      </c>
      <c r="B168" s="12" t="inlineStr">
        <is>
          <t>Single</t>
        </is>
      </c>
      <c r="C168" s="7">
        <f>A168&amp;"|"&amp;B168</f>
        <v/>
      </c>
      <c r="D168" s="14" t="n">
        <v>0</v>
      </c>
      <c r="E168" s="13" t="n">
        <v>0</v>
      </c>
      <c r="F168" s="10">
        <f>H168</f>
        <v/>
      </c>
      <c r="G168" s="14" t="n">
        <v>0</v>
      </c>
      <c r="H168" s="13" t="n">
        <v>999999999</v>
      </c>
      <c r="I168" s="10">
        <f>K168</f>
        <v/>
      </c>
      <c r="J168" s="14" t="n">
        <v>0</v>
      </c>
      <c r="K168" s="13" t="n">
        <v>999999999</v>
      </c>
      <c r="L168" s="10">
        <f>N168</f>
        <v/>
      </c>
      <c r="M168" s="14" t="n">
        <v>0</v>
      </c>
      <c r="N168" s="13" t="n">
        <v>999999999</v>
      </c>
      <c r="O168" s="10">
        <f>Q168</f>
        <v/>
      </c>
      <c r="P168" s="14" t="n">
        <v>0</v>
      </c>
      <c r="Q168" s="13" t="n">
        <v>999999999</v>
      </c>
      <c r="R168" s="10">
        <f>T168</f>
        <v/>
      </c>
      <c r="S168" s="14" t="n">
        <v>0</v>
      </c>
      <c r="T168" s="13" t="n">
        <v>999999999</v>
      </c>
      <c r="U168" s="10">
        <f>W168</f>
        <v/>
      </c>
      <c r="V168" s="14" t="n">
        <v>0</v>
      </c>
      <c r="W168" s="13" t="n">
        <v>999999999</v>
      </c>
      <c r="X168" s="10">
        <f>Z168</f>
        <v/>
      </c>
      <c r="Y168" s="14" t="n">
        <v>0</v>
      </c>
      <c r="Z168" s="13" t="n">
        <v>999999999</v>
      </c>
      <c r="AA168" s="10" t="n">
        <v>999999999</v>
      </c>
    </row>
    <row r="169">
      <c r="A169" s="12" t="inlineStr">
        <is>
          <t>OTHER</t>
        </is>
      </c>
      <c r="B169" s="12" t="inlineStr">
        <is>
          <t>MFJ</t>
        </is>
      </c>
      <c r="C169" s="7">
        <f>A169&amp;"|"&amp;B169</f>
        <v/>
      </c>
      <c r="D169" s="14" t="n">
        <v>0</v>
      </c>
      <c r="E169" s="13" t="n">
        <v>0</v>
      </c>
      <c r="F169" s="10">
        <f>H169</f>
        <v/>
      </c>
      <c r="G169" s="14" t="n">
        <v>0</v>
      </c>
      <c r="H169" s="13" t="n">
        <v>999999999</v>
      </c>
      <c r="I169" s="10">
        <f>K169</f>
        <v/>
      </c>
      <c r="J169" s="14" t="n">
        <v>0</v>
      </c>
      <c r="K169" s="13" t="n">
        <v>999999999</v>
      </c>
      <c r="L169" s="10">
        <f>N169</f>
        <v/>
      </c>
      <c r="M169" s="14" t="n">
        <v>0</v>
      </c>
      <c r="N169" s="13" t="n">
        <v>999999999</v>
      </c>
      <c r="O169" s="10">
        <f>Q169</f>
        <v/>
      </c>
      <c r="P169" s="14" t="n">
        <v>0</v>
      </c>
      <c r="Q169" s="13" t="n">
        <v>999999999</v>
      </c>
      <c r="R169" s="10">
        <f>T169</f>
        <v/>
      </c>
      <c r="S169" s="14" t="n">
        <v>0</v>
      </c>
      <c r="T169" s="13" t="n">
        <v>999999999</v>
      </c>
      <c r="U169" s="10">
        <f>W169</f>
        <v/>
      </c>
      <c r="V169" s="14" t="n">
        <v>0</v>
      </c>
      <c r="W169" s="13" t="n">
        <v>999999999</v>
      </c>
      <c r="X169" s="10">
        <f>Z169</f>
        <v/>
      </c>
      <c r="Y169" s="14" t="n">
        <v>0</v>
      </c>
      <c r="Z169" s="13" t="n">
        <v>999999999</v>
      </c>
      <c r="AA169" s="10" t="n">
        <v>999999999</v>
      </c>
    </row>
    <row r="171" ht="18" customHeight="1">
      <c r="A171" s="3" t="inlineStr">
        <is>
          <t>Local / Municipal Tax Table</t>
        </is>
      </c>
    </row>
    <row r="172">
      <c r="A172" s="5" t="inlineStr">
        <is>
          <t>Locality Code</t>
        </is>
      </c>
      <c r="B172" s="5" t="inlineStr">
        <is>
          <t>Locality Name</t>
        </is>
      </c>
      <c r="C172" s="5" t="inlineStr">
        <is>
          <t>State</t>
        </is>
      </c>
      <c r="D172" s="5" t="inlineStr">
        <is>
          <t>Tax Base</t>
        </is>
      </c>
      <c r="E172" s="5" t="inlineStr">
        <is>
          <t>Rate</t>
        </is>
      </c>
      <c r="F172" s="5" t="inlineStr">
        <is>
          <t>Notes</t>
        </is>
      </c>
    </row>
    <row r="173">
      <c r="A173" s="12" t="inlineStr">
        <is>
          <t>NYC</t>
        </is>
      </c>
      <c r="B173" s="12" t="inlineStr">
        <is>
          <t>New York City</t>
        </is>
      </c>
      <c r="C173" s="12" t="inlineStr">
        <is>
          <t>NY</t>
        </is>
      </c>
      <c r="D173" s="12" t="inlineStr">
        <is>
          <t>All</t>
        </is>
      </c>
      <c r="E173" s="14" t="n">
        <v>0.03648</v>
      </c>
      <c r="F173" s="15" t="inlineStr">
        <is>
          <t>Approximate blended NYC resident rate.</t>
        </is>
      </c>
    </row>
    <row r="174">
      <c r="A174" s="12" t="inlineStr">
        <is>
          <t>YONK</t>
        </is>
      </c>
      <c r="B174" s="12" t="inlineStr">
        <is>
          <t>Yonkers (NY)</t>
        </is>
      </c>
      <c r="C174" s="12" t="inlineStr">
        <is>
          <t>NY</t>
        </is>
      </c>
      <c r="D174" s="12" t="inlineStr">
        <is>
          <t>PctState</t>
        </is>
      </c>
      <c r="E174" s="14" t="n">
        <v>0.1675</v>
      </c>
      <c r="F174" s="15" t="inlineStr">
        <is>
          <t>Resident surcharge as % of NY State tax.</t>
        </is>
      </c>
    </row>
    <row r="175">
      <c r="A175" s="12" t="inlineStr">
        <is>
          <t>PHIL</t>
        </is>
      </c>
      <c r="B175" s="12" t="inlineStr">
        <is>
          <t>Philadelphia, PA</t>
        </is>
      </c>
      <c r="C175" s="12" t="inlineStr">
        <is>
          <t>PA</t>
        </is>
      </c>
      <c r="D175" s="12" t="inlineStr">
        <is>
          <t>Earned</t>
        </is>
      </c>
      <c r="E175" s="14" t="n">
        <v>0.0375</v>
      </c>
      <c r="F175" s="15" t="inlineStr">
        <is>
          <t>Philadelphia wage tax (resident).</t>
        </is>
      </c>
    </row>
    <row r="176">
      <c r="A176" s="12" t="inlineStr">
        <is>
          <t>PIT</t>
        </is>
      </c>
      <c r="B176" s="12" t="inlineStr">
        <is>
          <t>Pittsburgh, PA</t>
        </is>
      </c>
      <c r="C176" s="12" t="inlineStr">
        <is>
          <t>PA</t>
        </is>
      </c>
      <c r="D176" s="12" t="inlineStr">
        <is>
          <t>Earned</t>
        </is>
      </c>
      <c r="E176" s="14" t="n">
        <v>0.03</v>
      </c>
      <c r="F176" s="15" t="inlineStr">
        <is>
          <t>Local earned income tax (approx.).</t>
        </is>
      </c>
    </row>
    <row r="177">
      <c r="A177" s="12" t="inlineStr">
        <is>
          <t>DET</t>
        </is>
      </c>
      <c r="B177" s="12" t="inlineStr">
        <is>
          <t>Detroit, MI</t>
        </is>
      </c>
      <c r="C177" s="12" t="inlineStr">
        <is>
          <t>MI</t>
        </is>
      </c>
      <c r="D177" s="12" t="inlineStr">
        <is>
          <t>Earned</t>
        </is>
      </c>
      <c r="E177" s="14" t="n">
        <v>0.024</v>
      </c>
      <c r="F177" s="15" t="inlineStr">
        <is>
          <t>Detroit resident income tax.</t>
        </is>
      </c>
    </row>
    <row r="178">
      <c r="A178" s="12" t="inlineStr">
        <is>
          <t>COL</t>
        </is>
      </c>
      <c r="B178" s="12" t="inlineStr">
        <is>
          <t>Columbus, OH</t>
        </is>
      </c>
      <c r="C178" s="12" t="inlineStr">
        <is>
          <t>OH</t>
        </is>
      </c>
      <c r="D178" s="12" t="inlineStr">
        <is>
          <t>Earned</t>
        </is>
      </c>
      <c r="E178" s="14" t="n">
        <v>0.025</v>
      </c>
      <c r="F178" s="15" t="inlineStr">
        <is>
          <t>Ohio municipal income tax (approx.).</t>
        </is>
      </c>
    </row>
    <row r="179">
      <c r="A179" s="12" t="inlineStr">
        <is>
          <t>CIN</t>
        </is>
      </c>
      <c r="B179" s="12" t="inlineStr">
        <is>
          <t>Cincinnati, OH</t>
        </is>
      </c>
      <c r="C179" s="12" t="inlineStr">
        <is>
          <t>OH</t>
        </is>
      </c>
      <c r="D179" s="12" t="inlineStr">
        <is>
          <t>Earned</t>
        </is>
      </c>
      <c r="E179" s="14" t="n">
        <v>0.019</v>
      </c>
      <c r="F179" s="15" t="inlineStr">
        <is>
          <t>Ohio municipal income tax (approx.).</t>
        </is>
      </c>
    </row>
    <row r="180">
      <c r="A180" s="12" t="inlineStr">
        <is>
          <t>CLE</t>
        </is>
      </c>
      <c r="B180" s="12" t="inlineStr">
        <is>
          <t>Cleveland, OH</t>
        </is>
      </c>
      <c r="C180" s="12" t="inlineStr">
        <is>
          <t>OH</t>
        </is>
      </c>
      <c r="D180" s="12" t="inlineStr">
        <is>
          <t>Earned</t>
        </is>
      </c>
      <c r="E180" s="14" t="n">
        <v>0.025</v>
      </c>
      <c r="F180" s="15" t="inlineStr">
        <is>
          <t>Ohio municipal income tax (approx.).</t>
        </is>
      </c>
    </row>
    <row r="181">
      <c r="A181" s="12" t="inlineStr">
        <is>
          <t>MDCO</t>
        </is>
      </c>
      <c r="B181" s="12" t="inlineStr">
        <is>
          <t>Maryland County (avg.)</t>
        </is>
      </c>
      <c r="C181" s="12" t="inlineStr">
        <is>
          <t>MD</t>
        </is>
      </c>
      <c r="D181" s="12" t="inlineStr">
        <is>
          <t>PctState</t>
        </is>
      </c>
      <c r="E181" s="14" t="n">
        <v>0.32</v>
      </c>
      <c r="F181" s="15" t="inlineStr">
        <is>
          <t>Average MD county piggyback tax as % of state taxable income equivalent (approx.).</t>
        </is>
      </c>
    </row>
    <row r="182">
      <c r="A182" s="12" t="inlineStr">
        <is>
          <t>INCO</t>
        </is>
      </c>
      <c r="B182" s="12" t="inlineStr">
        <is>
          <t>Indiana County (avg.)</t>
        </is>
      </c>
      <c r="C182" s="12" t="inlineStr">
        <is>
          <t>IN</t>
        </is>
      </c>
      <c r="D182" s="12" t="inlineStr">
        <is>
          <t>Earned</t>
        </is>
      </c>
      <c r="E182" s="14" t="n">
        <v>0.0165</v>
      </c>
      <c r="F182" s="15" t="inlineStr">
        <is>
          <t>Average Indiana county income tax (approx.).</t>
        </is>
      </c>
    </row>
    <row r="183">
      <c r="A183" s="12" t="inlineStr">
        <is>
          <t>KCMO</t>
        </is>
      </c>
      <c r="B183" s="12" t="inlineStr">
        <is>
          <t>Kansas City, MO</t>
        </is>
      </c>
      <c r="C183" s="12" t="inlineStr">
        <is>
          <t>MO</t>
        </is>
      </c>
      <c r="D183" s="12" t="inlineStr">
        <is>
          <t>Earned</t>
        </is>
      </c>
      <c r="E183" s="14" t="n">
        <v>0.01</v>
      </c>
      <c r="F183" s="15" t="inlineStr">
        <is>
          <t>Local earnings tax.</t>
        </is>
      </c>
    </row>
    <row r="184">
      <c r="A184" s="12" t="inlineStr">
        <is>
          <t>STL</t>
        </is>
      </c>
      <c r="B184" s="12" t="inlineStr">
        <is>
          <t>St. Louis, MO</t>
        </is>
      </c>
      <c r="C184" s="12" t="inlineStr">
        <is>
          <t>MO</t>
        </is>
      </c>
      <c r="D184" s="12" t="inlineStr">
        <is>
          <t>Earned</t>
        </is>
      </c>
      <c r="E184" s="14" t="n">
        <v>0.01</v>
      </c>
      <c r="F184" s="15" t="inlineStr">
        <is>
          <t>Local earnings tax.</t>
        </is>
      </c>
    </row>
    <row r="185">
      <c r="A185" s="12" t="inlineStr">
        <is>
          <t>NONE</t>
        </is>
      </c>
      <c r="B185" s="12" t="inlineStr">
        <is>
          <t>None / Not Applicable</t>
        </is>
      </c>
      <c r="C185" s="12" t="inlineStr"/>
      <c r="D185" s="12" t="inlineStr">
        <is>
          <t>None</t>
        </is>
      </c>
      <c r="E185" s="14" t="n">
        <v>0</v>
      </c>
      <c r="F185" s="15" t="inlineStr">
        <is>
          <t>No local tax.</t>
        </is>
      </c>
    </row>
    <row r="186">
      <c r="A186" s="12" t="inlineStr">
        <is>
          <t>OTHER</t>
        </is>
      </c>
      <c r="B186" s="12" t="inlineStr">
        <is>
          <t>Other (Manual Entry)</t>
        </is>
      </c>
      <c r="C186" s="12" t="inlineStr"/>
      <c r="D186" s="12" t="inlineStr">
        <is>
          <t>Manual</t>
        </is>
      </c>
      <c r="E186" s="14" t="n">
        <v>0</v>
      </c>
      <c r="F186" s="15" t="inlineStr">
        <is>
          <t>Enter a custom local rate on the Inputs tab.</t>
        </is>
      </c>
    </row>
    <row r="189">
      <c r="A189" s="16" t="inlineStr">
        <is>
          <t>DISCLAIMER: Tax estimates are for educational and financial-planning purposes only. Actual tax liability may differ based on individual circumstances, deductions, credits, tax elections, state/local rules, and other factors. This calculator does not provide tax, legal, or accounting advice. Consult a qualified tax professional regarding your individual situation.</t>
        </is>
      </c>
    </row>
    <row r="190"/>
    <row r="191"/>
    <row r="192"/>
    <row r="193"/>
    <row r="195" ht="18" customHeight="1">
      <c r="A195" s="3" t="inlineStr">
        <is>
          <t>Key Assumptions</t>
        </is>
      </c>
    </row>
    <row r="196" ht="40" customHeight="1">
      <c r="A196" s="18" t="inlineStr">
        <is>
          <t>• Tax Year Coverage: 2024 and 2025. Every bracket, deduction, and threshold used by the calculators lives on this tab; nothing is hardcoded in the calculators themselves.</t>
        </is>
      </c>
    </row>
    <row r="197" ht="40" customHeight="1">
      <c r="A197" s="18" t="inlineStr">
        <is>
          <t>• 31 states plus Washington D.C. are modeled individually (no-tax, flat-tax, and progressive structures), plus a manual-entry option for any other state. State brackets use two filing categories - 'Single' (applied to Single, Married Filing Separately, and Head of Household) and 'MFJ' (applied to Married Filing Jointly and Qualifying Surviving Spouse).</t>
        </is>
      </c>
    </row>
    <row r="198" ht="40" customHeight="1">
      <c r="A198" s="18" t="inlineStr">
        <is>
          <t>• Capital gains and losses are netted using standard IRC short-term/long-term ordering, with up to $3,000 ($1,500 if Married Filing Separately) of net losses deductible against ordinary income and the remainder carried forward. Long-term capital gains and qualified dividends are taxed at the 0%/15%/20% rate that actually applies given the household's total income ("stacked" on top of ordinary income) - not an average rate. Where only a single 'Capital Losses' figure is entered, losses are assumed to offset short-term gains first, then long-term gains, which is the more conservative (higher-tax) ordering.</t>
        </is>
      </c>
    </row>
    <row r="199" ht="40" customHeight="1">
      <c r="A199" s="18" t="inlineStr">
        <is>
          <t>• Pre-tax contributions (401(k)/403(b), Traditional IRA, HSA, Other) are assumed fully deductible for federal and state purposes. HSA contributions are also assumed to reduce FICA wages (as they typically do when made through payroll); 401(k)/403(b)/IRA contributions do not reduce FICA wages, consistent with IRS rules.</t>
        </is>
      </c>
    </row>
    <row r="200" ht="40" customHeight="1">
      <c r="A200" s="18" t="inlineStr">
        <is>
          <t>• The Net Investment Income Tax (3.8%) and Additional Medicare Tax (0.9%) thresholds are fixed by statute and have not been inflation-adjusted since enactment (2013).</t>
        </is>
      </c>
    </row>
    <row r="201" ht="40" customHeight="1">
      <c r="A201" s="18" t="inlineStr">
        <is>
          <t>• The SALT itemized-deduction cap reflects the $10,000 TCJA-era cap for 2024 and the higher, phased cap enacted for 2025 and later years (the 2025+ figure does not model the high-income phase-down).</t>
        </is>
      </c>
    </row>
    <row r="202" ht="40" customHeight="1">
      <c r="A202" s="18" t="inlineStr">
        <is>
          <t>• 'Other Major Deductions' should be entered net of any applicable limitations (for example, medical expenses net of the 7.5%-of-AGI floor) since the calculator applies the SALT cap automatically but does not separately test other itemized items for limitations.</t>
        </is>
      </c>
    </row>
    <row r="203" ht="40" customHeight="1">
      <c r="A203" s="18" t="inlineStr">
        <is>
          <t>• Tax credits (Child Tax Credit, education credits, energy credits, etc.) are not included in this simplified workbook. They can meaningfully reduce a household's actual tax bill - discuss with your advisor.</t>
        </is>
      </c>
    </row>
    <row r="204" ht="40" customHeight="1">
      <c r="A204" s="18" t="inlineStr">
        <is>
          <t>• State tax uses a state-specific standard deduction where available and excludes Social Security and/or retirement-plan income for states that do not tax it (see the State Master List above). All states are assumed to tax capital gains as ordinary income.</t>
        </is>
      </c>
    </row>
    <row r="205" ht="40" customHeight="1">
      <c r="A205" s="18" t="inlineStr">
        <is>
          <t>• Tax-exempt municipal bond interest is assumed to be issued out-of-state and is added back for state tax purposes; bonds issued by the client's resident state are typically state-tax-exempt as well.</t>
        </is>
      </c>
    </row>
    <row r="206" ht="40" customHeight="1">
      <c r="A206" s="18" t="inlineStr">
        <is>
          <t>• Local/municipal taxes are modeled for a representative sample of localities plus a manual-entry option. 'Earned' bases apply the rate to wages/self-employment income only; 'All' applies to total taxable income; 'PctState' applies as a percentage of the computed state tax.</t>
        </is>
      </c>
    </row>
    <row r="207" ht="40" customHeight="1">
      <c r="A207" s="18" t="inlineStr">
        <is>
          <t>• Payroll taxes shown are employee-side FICA on W-2 wages plus full self-employment tax (both halves) on self-employment income - a tax-liability estimate, not a paycheck-withholding calculation.</t>
        </is>
      </c>
    </row>
    <row r="208" ht="40" customHeight="1">
      <c r="A208" s="18" t="inlineStr">
        <is>
          <t>• This workbook does not model AMT, the Qualified Business Income deduction, passive-activity loss rules, or every state/local nuance. It is a planning tool, not a tax return.</t>
        </is>
      </c>
    </row>
  </sheetData>
  <mergeCells count="26">
    <mergeCell ref="A203:J203"/>
    <mergeCell ref="A69:X69"/>
    <mergeCell ref="A206:J206"/>
    <mergeCell ref="A200:J200"/>
    <mergeCell ref="A199:J199"/>
    <mergeCell ref="A204:J204"/>
    <mergeCell ref="A202:J202"/>
    <mergeCell ref="A104:X104"/>
    <mergeCell ref="A195:X195"/>
    <mergeCell ref="A201:J201"/>
    <mergeCell ref="A17:X17"/>
    <mergeCell ref="A207:J207"/>
    <mergeCell ref="A1:J1"/>
    <mergeCell ref="A4:X4"/>
    <mergeCell ref="A43:X43"/>
    <mergeCell ref="A171:X171"/>
    <mergeCell ref="A197:J197"/>
    <mergeCell ref="A196:J196"/>
    <mergeCell ref="A205:J205"/>
    <mergeCell ref="A30:X30"/>
    <mergeCell ref="A208:J208"/>
    <mergeCell ref="A198:J198"/>
    <mergeCell ref="A64:X64"/>
    <mergeCell ref="A189:J193"/>
    <mergeCell ref="A51:X5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2026-09-04T18:30:23Z</dcterms:created>
  <dcterms:modified xsi:type="dcterms:W3CDTF">2026-09-04T18:46:52Z</dcterms:modified>
</cp:coreProperties>
</file>