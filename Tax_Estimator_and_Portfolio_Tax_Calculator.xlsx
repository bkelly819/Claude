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structions" sheetId="2" state="visible" r:id="rId2"/>
    <sheet name="Params_Federal" sheetId="3" state="visible" r:id="rId3"/>
    <sheet name="Params_State" sheetId="4" state="visible" r:id="rId4"/>
    <sheet name="Params_Local" sheetId="5" state="visible" r:id="rId5"/>
    <sheet name="Calc1_Inputs" sheetId="6" state="visible" r:id="rId6"/>
    <sheet name="Calc1_Engine" sheetId="7" state="visible" r:id="rId7"/>
    <sheet name="Calc1_Results" sheetId="8" state="visible" r:id="rId8"/>
    <sheet name="Calc2_Portfolio_Inputs" sheetId="9" state="visible" r:id="rId9"/>
    <sheet name="Calc2_Portfolio_Engine" sheetId="10" state="visible" r:id="rId10"/>
    <sheet name="Calc2_Portfolio_Results" sheetId="11" state="visible" r:id="rId11"/>
    <sheet name="WhatIf_Scenarios" sheetId="12" state="visible" r:id="rId12"/>
    <sheet name="Tax_Loss_Harvesting" sheetId="13" state="visible" r:id="rId13"/>
    <sheet name="Retirement_Contribution" sheetId="14" state="visible" r:id="rId14"/>
    <sheet name="Assumptions_Disclaimer"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30">
    <font>
      <name val="Calibri"/>
      <family val="2"/>
      <color theme="1"/>
      <sz val="11"/>
      <scheme val="minor"/>
    </font>
    <font>
      <name val="Arial"/>
      <b val="1"/>
      <color rgb="00FFFFFF"/>
      <sz val="20"/>
    </font>
    <font>
      <name val="Arial"/>
      <b val="1"/>
      <color rgb="00FFFFFF"/>
      <sz val="12"/>
    </font>
    <font>
      <name val="Arial"/>
      <color rgb="00000000"/>
      <sz val="11"/>
    </font>
    <font>
      <name val="Arial"/>
      <color rgb="00C00000"/>
      <sz val="10.5"/>
    </font>
    <font>
      <name val="Arial"/>
      <b val="1"/>
      <color rgb="00FFFFFF"/>
      <sz val="11"/>
    </font>
    <font>
      <name val="Arial"/>
      <b val="1"/>
      <color rgb="001F3864"/>
      <sz val="10"/>
    </font>
    <font>
      <name val="Arial"/>
      <color rgb="00000000"/>
      <sz val="9.5"/>
    </font>
    <font>
      <name val="Arial"/>
      <i val="1"/>
      <color rgb="00595959"/>
      <sz val="9"/>
    </font>
    <font>
      <name val="Arial"/>
      <b val="1"/>
      <color rgb="00FFFFFF"/>
      <sz val="15"/>
    </font>
    <font>
      <name val="Arial"/>
      <color rgb="00000000"/>
      <sz val="9"/>
    </font>
    <font>
      <name val="Arial"/>
      <color rgb="00000000"/>
      <sz val="10"/>
    </font>
    <font>
      <name val="Arial"/>
      <i val="1"/>
      <color rgb="00C00000"/>
      <sz val="9.5"/>
    </font>
    <font>
      <name val="Arial"/>
      <b val="1"/>
      <color rgb="00FFFFFF"/>
      <sz val="14"/>
    </font>
    <font>
      <name val="Arial"/>
      <i val="1"/>
      <color rgb="00595959"/>
      <sz val="9.5"/>
    </font>
    <font>
      <name val="Arial"/>
      <b val="1"/>
      <color rgb="00595959"/>
      <sz val="9"/>
    </font>
    <font>
      <name val="Arial"/>
      <color rgb="000000FF"/>
      <sz val="10"/>
    </font>
    <font>
      <name val="Arial"/>
      <color rgb="00595959"/>
      <sz val="9"/>
    </font>
    <font>
      <name val="Arial"/>
      <b val="1"/>
      <color rgb="00000000"/>
      <sz val="10"/>
    </font>
    <font>
      <name val="Arial"/>
      <color rgb="00595959"/>
      <sz val="8.5"/>
    </font>
    <font>
      <name val="Arial"/>
      <color rgb="00000000"/>
      <sz val="8.5"/>
    </font>
    <font>
      <name val="Arial"/>
      <b val="1"/>
      <color rgb="00595959"/>
      <sz val="8.5"/>
    </font>
    <font>
      <name val="Arial"/>
      <i val="1"/>
      <color rgb="00595959"/>
      <sz val="8"/>
    </font>
    <font>
      <name val="Arial"/>
      <b val="1"/>
      <color rgb="001F3864"/>
      <sz val="11"/>
    </font>
    <font>
      <name val="Arial"/>
      <b val="1"/>
      <color rgb="00000000"/>
      <sz val="11"/>
    </font>
    <font>
      <name val="Arial"/>
      <b val="1"/>
      <color rgb="00FFFFFF"/>
      <sz val="9"/>
    </font>
    <font>
      <name val="Arial"/>
      <b val="1"/>
      <color rgb="001F3864"/>
      <sz val="15"/>
    </font>
    <font>
      <name val="Arial"/>
      <b val="1"/>
      <color rgb="00000000"/>
      <sz val="9"/>
    </font>
    <font>
      <name val="Arial"/>
      <b val="1"/>
      <color rgb="00FFFFFF"/>
      <sz val="13"/>
    </font>
    <font>
      <name val="Arial"/>
      <b val="1"/>
      <color rgb="00C00000"/>
      <sz val="12"/>
    </font>
  </fonts>
  <fills count="9">
    <fill>
      <patternFill/>
    </fill>
    <fill>
      <patternFill patternType="gray125"/>
    </fill>
    <fill>
      <patternFill patternType="solid">
        <fgColor rgb="001F3864"/>
        <bgColor rgb="001F3864"/>
      </patternFill>
    </fill>
    <fill>
      <patternFill patternType="solid">
        <fgColor rgb="002E5395"/>
        <bgColor rgb="002E5395"/>
      </patternFill>
    </fill>
    <fill>
      <patternFill patternType="solid">
        <fgColor rgb="00FFF2CC"/>
        <bgColor rgb="00FFF2CC"/>
      </patternFill>
    </fill>
    <fill>
      <patternFill patternType="solid">
        <fgColor rgb="00FFFFFF"/>
        <bgColor rgb="00FFFFFF"/>
      </patternFill>
    </fill>
    <fill>
      <patternFill patternType="solid">
        <fgColor rgb="00E2EFDA"/>
        <bgColor rgb="00E2EFDA"/>
      </patternFill>
    </fill>
    <fill>
      <patternFill patternType="solid">
        <fgColor rgb="00D9E2F3"/>
        <bgColor rgb="00D9E2F3"/>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applyAlignment="1" pivotButton="0" quotePrefix="0" xfId="0">
      <alignment horizontal="left" vertical="top" wrapText="1"/>
    </xf>
    <xf numFmtId="0" fontId="4" fillId="4" borderId="0" applyAlignment="1" pivotButton="0" quotePrefix="0" xfId="0">
      <alignment horizontal="left" vertical="top" wrapText="1"/>
    </xf>
    <xf numFmtId="0" fontId="0" fillId="4" borderId="0" pivotButton="0" quotePrefix="0" xfId="0"/>
    <xf numFmtId="0" fontId="5" fillId="3" borderId="0" applyAlignment="1" pivotButton="0" quotePrefix="0" xfId="0">
      <alignment horizontal="left" vertical="center" indent="1"/>
    </xf>
    <xf numFmtId="0" fontId="0" fillId="3" borderId="0" pivotButton="0" quotePrefix="0" xfId="0"/>
    <xf numFmtId="0" fontId="6" fillId="0" borderId="0" pivotButton="0" quotePrefix="0" xfId="0"/>
    <xf numFmtId="0" fontId="7" fillId="0" borderId="0" applyAlignment="1" pivotButton="0" quotePrefix="0" xfId="0">
      <alignment vertical="center" wrapText="1"/>
    </xf>
    <xf numFmtId="0" fontId="8" fillId="0" borderId="0" pivotButton="0" quotePrefix="0" xfId="0"/>
    <xf numFmtId="0" fontId="9" fillId="2" borderId="0" applyAlignment="1" pivotButton="0" quotePrefix="0" xfId="0">
      <alignment horizontal="left" vertical="center" indent="1"/>
    </xf>
    <xf numFmtId="0" fontId="10" fillId="4" borderId="1" pivotButton="0" quotePrefix="0" xfId="0"/>
    <xf numFmtId="0" fontId="7" fillId="0" borderId="0" applyAlignment="1" pivotButton="0" quotePrefix="0" xfId="0">
      <alignment wrapText="1"/>
    </xf>
    <xf numFmtId="0" fontId="10" fillId="5" borderId="1" pivotButton="0" quotePrefix="0" xfId="0"/>
    <xf numFmtId="0" fontId="10" fillId="6" borderId="1" pivotButton="0" quotePrefix="0" xfId="0"/>
    <xf numFmtId="0" fontId="10" fillId="7" borderId="1" pivotButton="0" quotePrefix="0" xfId="0"/>
    <xf numFmtId="0" fontId="11" fillId="0" borderId="0" applyAlignment="1" pivotButton="0" quotePrefix="0" xfId="0">
      <alignment vertical="top" wrapText="1"/>
    </xf>
    <xf numFmtId="0" fontId="12" fillId="0" borderId="0" applyAlignment="1" pivotButton="0" quotePrefix="0" xfId="0">
      <alignment vertical="top" wrapText="1"/>
    </xf>
    <xf numFmtId="0" fontId="13" fillId="2" borderId="0" applyAlignment="1" pivotButton="0" quotePrefix="0" xfId="0">
      <alignment horizontal="left" vertical="center" indent="1"/>
    </xf>
    <xf numFmtId="0" fontId="14" fillId="0" borderId="0" pivotButton="0" quotePrefix="0" xfId="0"/>
    <xf numFmtId="0" fontId="15" fillId="8" borderId="1" applyAlignment="1" pivotButton="0" quotePrefix="0" xfId="0">
      <alignment horizontal="center" vertical="center" wrapText="1"/>
    </xf>
    <xf numFmtId="0" fontId="16" fillId="4" borderId="0" pivotButton="0" quotePrefix="0" xfId="0"/>
    <xf numFmtId="0" fontId="17" fillId="0" borderId="0" pivotButton="0" quotePrefix="0" xfId="0"/>
    <xf numFmtId="164" fontId="16" fillId="4" borderId="0" pivotButton="0" quotePrefix="0" xfId="0"/>
    <xf numFmtId="165" fontId="16" fillId="4" borderId="0" pivotButton="0" quotePrefix="0" xfId="0"/>
    <xf numFmtId="165" fontId="11" fillId="0" borderId="0" pivotButton="0" quotePrefix="0" xfId="0"/>
    <xf numFmtId="0" fontId="16" fillId="4" borderId="1" applyAlignment="1" pivotButton="0" quotePrefix="0" xfId="0">
      <alignment horizontal="right" vertical="center"/>
    </xf>
    <xf numFmtId="0" fontId="16" fillId="4" borderId="1" applyAlignment="1" pivotButton="0" quotePrefix="0" xfId="0">
      <alignment horizontal="left"/>
    </xf>
    <xf numFmtId="165" fontId="16" fillId="4" borderId="1" applyAlignment="1" pivotButton="0" quotePrefix="0" xfId="0">
      <alignment horizontal="right" vertical="center"/>
    </xf>
    <xf numFmtId="10" fontId="16" fillId="4" borderId="1" applyAlignment="1" pivotButton="0" quotePrefix="0" xfId="0">
      <alignment horizontal="right" vertical="center"/>
    </xf>
    <xf numFmtId="164" fontId="16" fillId="4" borderId="1" applyAlignment="1" pivotButton="0" quotePrefix="0" xfId="0">
      <alignment horizontal="right" vertical="center"/>
    </xf>
    <xf numFmtId="0" fontId="16" fillId="4" borderId="1" applyAlignment="1" pivotButton="0" quotePrefix="0" xfId="0">
      <alignment horizontal="left" wrapText="1"/>
    </xf>
    <xf numFmtId="0" fontId="18" fillId="0" borderId="0" applyAlignment="1" pivotButton="0" quotePrefix="0" xfId="0">
      <alignment horizontal="left" vertical="center"/>
    </xf>
    <xf numFmtId="0" fontId="11" fillId="0" borderId="0" applyAlignment="1" pivotButton="0" quotePrefix="0" xfId="0">
      <alignment horizontal="left" vertical="center" indent="1"/>
    </xf>
    <xf numFmtId="0" fontId="11" fillId="0" borderId="0" applyAlignment="1" pivotButton="0" quotePrefix="0" xfId="0">
      <alignment horizontal="left" vertical="center"/>
    </xf>
    <xf numFmtId="165" fontId="11" fillId="0" borderId="0" applyAlignment="1" pivotButton="0" quotePrefix="0" xfId="0">
      <alignment horizontal="right" vertical="center"/>
    </xf>
    <xf numFmtId="165" fontId="6" fillId="7" borderId="0" applyAlignment="1" pivotButton="0" quotePrefix="0" xfId="0">
      <alignment horizontal="right" vertical="center"/>
    </xf>
    <xf numFmtId="0" fontId="16" fillId="4" borderId="1" applyAlignment="1" pivotButton="0" quotePrefix="0" xfId="0">
      <alignment horizontal="center"/>
    </xf>
    <xf numFmtId="1" fontId="16" fillId="4" borderId="1" applyAlignment="1" pivotButton="0" quotePrefix="0" xfId="0">
      <alignment horizontal="right" vertical="center"/>
    </xf>
    <xf numFmtId="0" fontId="15" fillId="0" borderId="0" pivotButton="0" quotePrefix="0" xfId="0"/>
    <xf numFmtId="0" fontId="19" fillId="0" borderId="0" pivotButton="0" quotePrefix="0" xfId="0"/>
    <xf numFmtId="0" fontId="20" fillId="0" borderId="0" pivotButton="0" quotePrefix="0" xfId="0"/>
    <xf numFmtId="165" fontId="18" fillId="0" borderId="0" applyAlignment="1" pivotButton="0" quotePrefix="0" xfId="0">
      <alignment horizontal="right" vertical="center"/>
    </xf>
    <xf numFmtId="0" fontId="22" fillId="0" borderId="0" pivotButton="0" quotePrefix="0" xfId="0"/>
    <xf numFmtId="10" fontId="11" fillId="0" borderId="0" applyAlignment="1" pivotButton="0" quotePrefix="0" xfId="0">
      <alignment horizontal="right" vertical="center"/>
    </xf>
    <xf numFmtId="0" fontId="21" fillId="0" borderId="0" pivotButton="0" quotePrefix="0" xfId="0"/>
    <xf numFmtId="10" fontId="10" fillId="0" borderId="0" pivotButton="0" quotePrefix="0" xfId="0"/>
    <xf numFmtId="165" fontId="10" fillId="0" borderId="0" pivotButton="0" quotePrefix="0" xfId="0"/>
    <xf numFmtId="165" fontId="23" fillId="7" borderId="1" applyAlignment="1" pivotButton="0" quotePrefix="0" xfId="0">
      <alignment horizontal="right" vertical="center"/>
    </xf>
    <xf numFmtId="164" fontId="11" fillId="0" borderId="0" applyAlignment="1" pivotButton="0" quotePrefix="0" xfId="0">
      <alignment horizontal="right" vertical="center"/>
    </xf>
    <xf numFmtId="0" fontId="24" fillId="0" borderId="0" applyAlignment="1" pivotButton="0" quotePrefix="0" xfId="0">
      <alignment horizontal="left" vertical="center"/>
    </xf>
    <xf numFmtId="0" fontId="12" fillId="0" borderId="0" pivotButton="0" quotePrefix="0" xfId="0"/>
    <xf numFmtId="0" fontId="25" fillId="3" borderId="0" applyAlignment="1" pivotButton="0" quotePrefix="0" xfId="0">
      <alignment horizontal="center" vertical="center" wrapText="1"/>
    </xf>
    <xf numFmtId="165" fontId="26" fillId="7" borderId="0" applyAlignment="1" pivotButton="0" quotePrefix="0" xfId="0">
      <alignment horizontal="center" vertical="center"/>
    </xf>
    <xf numFmtId="164" fontId="26" fillId="7" borderId="0" applyAlignment="1" pivotButton="0" quotePrefix="0" xfId="0">
      <alignment horizontal="center" vertical="center"/>
    </xf>
    <xf numFmtId="0" fontId="27" fillId="0" borderId="0" pivotButton="0" quotePrefix="0" xfId="0"/>
    <xf numFmtId="0" fontId="10" fillId="0" borderId="0" pivotButton="0" quotePrefix="0" xfId="0"/>
    <xf numFmtId="164" fontId="23" fillId="7" borderId="1" applyAlignment="1" pivotButton="0" quotePrefix="0" xfId="0">
      <alignment horizontal="right" vertical="center"/>
    </xf>
    <xf numFmtId="0" fontId="28" fillId="2" borderId="0" applyAlignment="1" pivotButton="0" quotePrefix="0" xfId="0">
      <alignment horizontal="left" vertical="center" indent="1"/>
    </xf>
    <xf numFmtId="164" fontId="18" fillId="0" borderId="0" applyAlignment="1" pivotButton="0" quotePrefix="0" xfId="0">
      <alignment horizontal="right" vertical="center"/>
    </xf>
    <xf numFmtId="165" fontId="8" fillId="0" borderId="0" applyAlignment="1" pivotButton="0" quotePrefix="0" xfId="0">
      <alignment horizontal="right" vertical="center"/>
    </xf>
    <xf numFmtId="165" fontId="11" fillId="0" borderId="0" applyAlignment="1" pivotButton="0" quotePrefix="0" xfId="0">
      <alignment horizontal="right"/>
    </xf>
    <xf numFmtId="164" fontId="11" fillId="0" borderId="0" applyAlignment="1" pivotButton="0" quotePrefix="0" xfId="0">
      <alignment horizontal="right"/>
    </xf>
    <xf numFmtId="0" fontId="29" fillId="4"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Where Your Taxes Are Going</a:t>
            </a:r>
          </a:p>
        </rich>
      </tx>
    </title>
    <plotArea>
      <pieChart>
        <varyColors val="1"/>
        <ser>
          <idx val="0"/>
          <order val="0"/>
          <tx>
            <strRef>
              <f>'Calc1_Results'!I7</f>
            </strRef>
          </tx>
          <spPr>
            <a:ln>
              <a:prstDash val="solid"/>
            </a:ln>
          </spPr>
          <cat>
            <numRef>
              <f>'Calc1_Results'!$H$8:$H$13</f>
            </numRef>
          </cat>
          <val>
            <numRef>
              <f>'Calc1_Results'!$I$8:$I$13</f>
            </numRef>
          </val>
        </ser>
        <dLbls>
          <showPercent val="1"/>
        </dLbls>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Gross Income vs. Total Tax vs. After-Tax Income</a:t>
            </a:r>
          </a:p>
        </rich>
      </tx>
    </title>
    <plotArea>
      <barChart>
        <barDir val="col"/>
        <grouping val="clustered"/>
        <ser>
          <idx val="0"/>
          <order val="0"/>
          <tx>
            <strRef>
              <f>'Calc1_Results'!I15</f>
            </strRef>
          </tx>
          <spPr>
            <a:ln>
              <a:prstDash val="solid"/>
            </a:ln>
          </spPr>
          <cat>
            <numRef>
              <f>'Calc1_Results'!$H$16:$H$18</f>
            </numRef>
          </cat>
          <val>
            <numRef>
              <f>'Calc1_Results'!$I$16:$I$18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Tax by Income Type</a:t>
            </a:r>
          </a:p>
        </rich>
      </tx>
    </title>
    <plotArea>
      <pieChart>
        <varyColors val="1"/>
        <ser>
          <idx val="0"/>
          <order val="0"/>
          <tx>
            <strRef>
              <f>'Calc2_Portfolio_Results'!I23</f>
            </strRef>
          </tx>
          <spPr>
            <a:ln>
              <a:prstDash val="solid"/>
            </a:ln>
          </spPr>
          <cat>
            <numRef>
              <f>'Calc2_Portfolio_Results'!$H$24:$H$27</f>
            </numRef>
          </cat>
          <val>
            <numRef>
              <f>'Calc2_Portfolio_Results'!$I$24:$I$27</f>
            </numRef>
          </val>
        </ser>
        <dLbls>
          <showPercent val="1"/>
        </dLbls>
        <firstSliceAng val="0"/>
      </pieChart>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Portfolio Income vs. Tax vs. After-Tax</a:t>
            </a:r>
          </a:p>
        </rich>
      </tx>
    </title>
    <plotArea>
      <barChart>
        <barDir val="col"/>
        <grouping val="clustered"/>
        <ser>
          <idx val="0"/>
          <order val="0"/>
          <tx>
            <strRef>
              <f>'Calc2_Portfolio_Results'!I32</f>
            </strRef>
          </tx>
          <spPr>
            <a:ln>
              <a:prstDash val="solid"/>
            </a:ln>
          </spPr>
          <cat>
            <numRef>
              <f>'Calc2_Portfolio_Results'!$H$33:$H$35</f>
            </numRef>
          </cat>
          <val>
            <numRef>
              <f>'Calc2_Portfolio_Results'!$I$33:$I$35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25</row>
      <rowOff>0</rowOff>
    </from>
    <ext cx="5040000" cy="306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5040000" cy="306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23</row>
      <rowOff>0</rowOff>
    </from>
    <ext cx="5040000" cy="306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23</row>
      <rowOff>0</rowOff>
    </from>
    <ext cx="5040000" cy="306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D38"/>
  <sheetViews>
    <sheetView showGridLines="0" zoomScale="100" workbookViewId="0">
      <selection activeCell="A1" sqref="A1"/>
    </sheetView>
  </sheetViews>
  <sheetFormatPr baseColWidth="8" defaultRowHeight="15" outlineLevelCol="0"/>
  <cols>
    <col width="4" customWidth="1" min="1" max="1"/>
    <col width="40" customWidth="1" min="2" max="2"/>
    <col width="40" customWidth="1" min="3" max="3"/>
    <col width="30" customWidth="1" min="4" max="4"/>
    <col width="4" customWidth="1" min="5" max="5"/>
  </cols>
  <sheetData>
    <row r="2" ht="40" customHeight="1">
      <c r="B2" s="1" t="inlineStr">
        <is>
          <t>TAX ESTIMATOR &amp; PORTFOLIO TAX CALCULATOR</t>
        </is>
      </c>
    </row>
    <row r="3" ht="22" customHeight="1">
      <c r="B3" s="2" t="inlineStr">
        <is>
          <t>For Financial Advisors and Their Clients</t>
        </is>
      </c>
    </row>
    <row r="5" ht="110" customHeight="1">
      <c r="B5" s="3" t="inlineStr">
        <is>
          <t>This workbook provides two integrated calculators:
1)  COMPLETE TAX ESTIMATOR  -  a full household federal, state, and local tax projection based on income, pre-tax contributions, investment income, deductions, and credits.
2)  PORTFOLIO TAX ESTIMATOR  -  the incremental tax generated specifically by an investment portfolio (interest, dividends, capital gains), layered on top of salary income.</t>
        </is>
      </c>
    </row>
    <row r="6"/>
    <row r="7"/>
    <row r="8"/>
    <row r="9"/>
    <row r="11" ht="110" customHeight="1">
      <c r="B11" s="4" t="inlineStr">
        <is>
          <t>IMPORTANT DISCLAIMER
Tax estimates are for educational and financial-planning purposes only. Actual tax liability may differ based on individual circumstances, deductions, credits, tax elections, state/local rules, and other factors. This calculator does not provide tax, legal, or accounting advice. Consult a qualified tax professional regarding your individual situation.</t>
        </is>
      </c>
      <c r="C11" s="5" t="n"/>
      <c r="D11" s="5" t="n"/>
    </row>
    <row r="12">
      <c r="B12" s="5" t="n"/>
      <c r="C12" s="5" t="n"/>
      <c r="D12" s="5" t="n"/>
    </row>
    <row r="13">
      <c r="B13" s="5" t="n"/>
      <c r="C13" s="5" t="n"/>
      <c r="D13" s="5" t="n"/>
    </row>
    <row r="14">
      <c r="B14" s="5" t="n"/>
      <c r="C14" s="5" t="n"/>
      <c r="D14" s="5" t="n"/>
    </row>
    <row r="15">
      <c r="B15" s="5" t="n"/>
      <c r="C15" s="5" t="n"/>
      <c r="D15" s="5" t="n"/>
    </row>
    <row r="16">
      <c r="B16" s="5" t="n"/>
      <c r="C16" s="5" t="n"/>
      <c r="D16" s="5" t="n"/>
    </row>
    <row r="18" ht="18" customHeight="1">
      <c r="B18" s="6" t="inlineStr">
        <is>
          <t>WORKBOOK CONTENTS</t>
        </is>
      </c>
      <c r="C18" s="7" t="n"/>
      <c r="D18" s="7" t="n"/>
    </row>
    <row r="19">
      <c r="B19" s="8" t="inlineStr">
        <is>
          <t>Instructions</t>
        </is>
      </c>
      <c r="C19" s="9" t="inlineStr">
        <is>
          <t>How to use this workbook, color legend, navigation.</t>
        </is>
      </c>
    </row>
    <row r="20">
      <c r="B20" s="8" t="inlineStr">
        <is>
          <t>Params_Federal</t>
        </is>
      </c>
      <c r="C20" s="9" t="inlineStr">
        <is>
          <t>Federal tax-parameter database by tax year (brackets, deductions, credits, limits).</t>
        </is>
      </c>
    </row>
    <row r="21">
      <c r="B21" s="8" t="inlineStr">
        <is>
          <t>Params_State</t>
        </is>
      </c>
      <c r="C21" s="9" t="inlineStr">
        <is>
          <t>State-by-state tax parameter database (brackets, treatment of retirement/SS income).</t>
        </is>
      </c>
    </row>
    <row r="22">
      <c r="B22" s="8" t="inlineStr">
        <is>
          <t>Params_Local</t>
        </is>
      </c>
      <c r="C22" s="9" t="inlineStr">
        <is>
          <t>Local / municipal tax parameter database.</t>
        </is>
      </c>
    </row>
    <row r="23">
      <c r="B23" s="8" t="inlineStr">
        <is>
          <t>Calc1_Inputs</t>
        </is>
      </c>
      <c r="C23" s="9" t="inlineStr">
        <is>
          <t>Complete Tax Estimator - all household inputs.</t>
        </is>
      </c>
    </row>
    <row r="24">
      <c r="B24" s="8" t="inlineStr">
        <is>
          <t>Calc1_Engine</t>
        </is>
      </c>
      <c r="C24" s="9" t="inlineStr">
        <is>
          <t>Complete Tax Estimator - calculation engine (shows all work).</t>
        </is>
      </c>
    </row>
    <row r="25">
      <c r="B25" s="8" t="inlineStr">
        <is>
          <t>Calc1_Results</t>
        </is>
      </c>
      <c r="C25" s="9" t="inlineStr">
        <is>
          <t>Complete Tax Estimator - summary dashboard and charts.</t>
        </is>
      </c>
    </row>
    <row r="26">
      <c r="B26" s="8" t="inlineStr">
        <is>
          <t>Calc2_Portfolio_Inputs</t>
        </is>
      </c>
      <c r="C26" s="9" t="inlineStr">
        <is>
          <t>Portfolio Tax Estimator - inputs.</t>
        </is>
      </c>
    </row>
    <row r="27">
      <c r="B27" s="8" t="inlineStr">
        <is>
          <t>Calc2_Portfolio_Engine</t>
        </is>
      </c>
      <c r="C27" s="9" t="inlineStr">
        <is>
          <t>Portfolio Tax Estimator - incremental tax calculation engine.</t>
        </is>
      </c>
    </row>
    <row r="28">
      <c r="B28" s="8" t="inlineStr">
        <is>
          <t>Calc2_Portfolio_Results</t>
        </is>
      </c>
      <c r="C28" s="9" t="inlineStr">
        <is>
          <t>Portfolio Tax Estimator - summary dashboard and charts.</t>
        </is>
      </c>
    </row>
    <row r="29">
      <c r="B29" s="8" t="inlineStr">
        <is>
          <t>WhatIf_Scenarios</t>
        </is>
      </c>
      <c r="C29" s="9" t="inlineStr">
        <is>
          <t>Side-by-side scenario comparison tool (before / after).</t>
        </is>
      </c>
    </row>
    <row r="30">
      <c r="B30" s="8" t="inlineStr">
        <is>
          <t>Tax_Loss_Harvesting</t>
        </is>
      </c>
      <c r="C30" s="9" t="inlineStr">
        <is>
          <t>Tax-loss harvesting savings estimator.</t>
        </is>
      </c>
    </row>
    <row r="31">
      <c r="B31" s="8" t="inlineStr">
        <is>
          <t>Retirement_Contribution</t>
        </is>
      </c>
      <c r="C31" s="9" t="inlineStr">
        <is>
          <t>Additional pre-tax contribution savings estimator.</t>
        </is>
      </c>
    </row>
    <row r="32">
      <c r="B32" s="8" t="inlineStr">
        <is>
          <t>Assumptions_Disclaimer</t>
        </is>
      </c>
      <c r="C32" s="9" t="inlineStr">
        <is>
          <t>Full disclaimer and methodology / assumptions.</t>
        </is>
      </c>
    </row>
    <row r="37">
      <c r="B37" s="10" t="inlineStr">
        <is>
          <t>Tax Year Coverage: 2024 and 2025  |  Prepared for planning discussions - not a tax return.</t>
        </is>
      </c>
    </row>
    <row r="38"/>
  </sheetData>
  <mergeCells count="20">
    <mergeCell ref="C24:D24"/>
    <mergeCell ref="C30:D30"/>
    <mergeCell ref="C26:D26"/>
    <mergeCell ref="C20:D20"/>
    <mergeCell ref="C29:D29"/>
    <mergeCell ref="C25:D25"/>
    <mergeCell ref="C22:D22"/>
    <mergeCell ref="C31:D31"/>
    <mergeCell ref="C21:D21"/>
    <mergeCell ref="C27:D27"/>
    <mergeCell ref="B5:D9"/>
    <mergeCell ref="C23:D23"/>
    <mergeCell ref="B11:D16"/>
    <mergeCell ref="B3:D3"/>
    <mergeCell ref="C32:D32"/>
    <mergeCell ref="B37:D38"/>
    <mergeCell ref="C19:D19"/>
    <mergeCell ref="B18:D18"/>
    <mergeCell ref="C28:D28"/>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22"/>
  <sheetViews>
    <sheetView showGridLines="0" zoomScale="100" workbookViewId="0">
      <selection activeCell="A1" sqref="A1"/>
    </sheetView>
  </sheetViews>
  <sheetFormatPr baseColWidth="8" defaultRowHeight="15" outlineLevelCol="0"/>
  <cols>
    <col width="3" customWidth="1" min="1" max="1"/>
    <col width="34" customWidth="1" min="2" max="2"/>
    <col width="70" customWidth="1" min="3" max="3"/>
  </cols>
  <sheetData>
    <row r="2" ht="28" customHeight="1">
      <c r="B2" s="11" t="inlineStr">
        <is>
          <t>HOW TO USE THIS WORKBOOK</t>
        </is>
      </c>
    </row>
    <row r="4" ht="18" customHeight="1">
      <c r="B4" s="6" t="inlineStr">
        <is>
          <t>Color Legend</t>
        </is>
      </c>
      <c r="C4" s="7" t="n"/>
    </row>
    <row r="5">
      <c r="B5" s="12" t="inlineStr">
        <is>
          <t>Yellow / gold fill, blue text</t>
        </is>
      </c>
      <c r="C5" s="13" t="inlineStr">
        <is>
          <t>Input cell - change these to update the model.</t>
        </is>
      </c>
    </row>
    <row r="6">
      <c r="B6" s="14" t="inlineStr">
        <is>
          <t>Black text</t>
        </is>
      </c>
      <c r="C6" s="13" t="inlineStr">
        <is>
          <t>Formula - calculated automatically. Do not overwrite.</t>
        </is>
      </c>
    </row>
    <row r="7">
      <c r="B7" s="15" t="inlineStr">
        <is>
          <t>Green fill</t>
        </is>
      </c>
      <c r="C7" s="13" t="inlineStr">
        <is>
          <t>Link pulled from another tab (e.g., Parameters or another Calculator).</t>
        </is>
      </c>
    </row>
    <row r="8">
      <c r="B8" s="16" t="inlineStr">
        <is>
          <t>Light blue fill, bold navy text</t>
        </is>
      </c>
      <c r="C8" s="13" t="inlineStr">
        <is>
          <t>Key result / summary output.</t>
        </is>
      </c>
    </row>
    <row r="10" ht="18" customHeight="1">
      <c r="B10" s="6" t="inlineStr">
        <is>
          <t>Steps</t>
        </is>
      </c>
      <c r="C10" s="7" t="n"/>
    </row>
    <row r="11" ht="44" customHeight="1">
      <c r="B11" s="17" t="inlineStr">
        <is>
          <t>1. Complete Tax Estimator: go to Calc1_Inputs, select filing status / tax year / state / locality, then fill in income, pre-tax contributions, investment income, deductions, and credits. Results flow automatically to Calc1_Engine and Calc1_Results.</t>
        </is>
      </c>
    </row>
    <row r="12" ht="44" customHeight="1">
      <c r="B12" s="17" t="inlineStr">
        <is>
          <t>2. Portfolio Tax Estimator: go to Calc2_Portfolio_Inputs, enter filing status, state, salary for each spouse, and portfolio income detail. Results flow to Calc2_Portfolio_Engine and Calc2_Portfolio_Results.</t>
        </is>
      </c>
    </row>
    <row r="13" ht="44" customHeight="1">
      <c r="B13" s="17" t="inlineStr">
        <is>
          <t>3. What-If Scenarios: use WhatIf_Scenarios to compare a baseline case against an alternative (e.g., loss harvesting, additional retirement contributions, extra dividend income).</t>
        </is>
      </c>
    </row>
    <row r="14" ht="44" customHeight="1">
      <c r="B14" s="17" t="inlineStr">
        <is>
          <t>4. Tax-Loss Harvesting: use Tax_Loss_Harvesting to estimate the tax savings of harvesting unrealized losses.</t>
        </is>
      </c>
    </row>
    <row r="15" ht="44" customHeight="1">
      <c r="B15" s="17" t="inlineStr">
        <is>
          <t>5. Retirement Contribution: use Retirement_Contribution to estimate the tax savings and after-tax cost of an additional pre-tax contribution.</t>
        </is>
      </c>
    </row>
    <row r="16" ht="44" customHeight="1">
      <c r="B16" s="17" t="inlineStr">
        <is>
          <t>6. All tax-law figures (brackets, deduction amounts, thresholds, limits) live on the Params_* tabs and can be updated for future tax years without changing any calculation logic.</t>
        </is>
      </c>
    </row>
    <row r="18" ht="18" customHeight="1">
      <c r="B18" s="6" t="inlineStr">
        <is>
          <t>Disclaimer</t>
        </is>
      </c>
      <c r="C18" s="7" t="n"/>
    </row>
    <row r="19">
      <c r="B19" s="18" t="inlineStr">
        <is>
          <t>Tax estimates are for educational and financial-planning purposes only. Actual tax liability may differ based on individual circumstances, deductions, credits, tax elections, state/local rules, and other factors. This calculator does not provide tax, legal, or accounting advice. Consult a qualified tax professional regarding your individual situation.</t>
        </is>
      </c>
    </row>
    <row r="20"/>
    <row r="21"/>
    <row r="22"/>
  </sheetData>
  <mergeCells count="11">
    <mergeCell ref="B13:C13"/>
    <mergeCell ref="B2:C2"/>
    <mergeCell ref="B16:C16"/>
    <mergeCell ref="B15:C15"/>
    <mergeCell ref="B11:C11"/>
    <mergeCell ref="B10:C10"/>
    <mergeCell ref="B14:C14"/>
    <mergeCell ref="B19:C22"/>
    <mergeCell ref="B18:C18"/>
    <mergeCell ref="B4:C4"/>
    <mergeCell ref="B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94"/>
  <sheetViews>
    <sheetView showGridLines="0" zoomScale="100" workbookViewId="0">
      <pane xSplit="3" ySplit="3" topLeftCell="D4" activePane="bottomRight" state="frozen"/>
      <selection pane="topRight"/>
      <selection pane="bottomLeft"/>
      <selection pane="bottomRight" activeCell="A1" sqref="A1"/>
    </sheetView>
  </sheetViews>
  <sheetFormatPr baseColWidth="8" defaultRowHeight="15" outlineLevelCol="0"/>
  <cols>
    <col width="9" customWidth="1" min="1" max="1"/>
    <col width="24" customWidth="1" min="2" max="2"/>
    <col width="1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s>
  <sheetData>
    <row r="1" ht="28" customHeight="1">
      <c r="A1" s="19" t="inlineStr">
        <is>
          <t>FEDERAL TAX PARAMETER DATABASE</t>
        </is>
      </c>
    </row>
    <row r="2">
      <c r="A2" s="20" t="inlineStr">
        <is>
          <t>All figures below are editable inputs. Update this tab to add a new tax year or refresh published IRS figures - no calculation logic elsewhere needs to change.</t>
        </is>
      </c>
    </row>
    <row r="4" ht="18" customHeight="1">
      <c r="A4" s="6" t="inlineStr">
        <is>
          <t>A. Federal Ordinary Income Tax Brackets (7 brackets)</t>
        </is>
      </c>
      <c r="B4" s="7" t="n"/>
      <c r="C4" s="7" t="n"/>
      <c r="D4" s="7" t="n"/>
      <c r="E4" s="7" t="n"/>
      <c r="F4" s="7" t="n"/>
      <c r="G4" s="7" t="n"/>
      <c r="H4" s="7" t="n"/>
      <c r="I4" s="7" t="n"/>
      <c r="J4" s="7" t="n"/>
      <c r="K4" s="7" t="n"/>
      <c r="L4" s="7" t="n"/>
      <c r="M4" s="7" t="n"/>
      <c r="N4" s="7" t="n"/>
      <c r="O4" s="7" t="n"/>
      <c r="P4" s="7" t="n"/>
      <c r="Q4" s="7" t="n"/>
      <c r="R4" s="7" t="n"/>
      <c r="S4" s="7" t="n"/>
      <c r="T4" s="7" t="n"/>
      <c r="U4" s="7" t="n"/>
      <c r="V4" s="7" t="n"/>
      <c r="W4" s="7" t="n"/>
      <c r="X4" s="7" t="n"/>
    </row>
    <row r="5">
      <c r="A5" s="21" t="inlineStr">
        <is>
          <t>Year</t>
        </is>
      </c>
      <c r="B5" s="21" t="inlineStr">
        <is>
          <t>Filing Status</t>
        </is>
      </c>
      <c r="C5" s="21" t="inlineStr">
        <is>
          <t>Key</t>
        </is>
      </c>
      <c r="D5" s="21" t="inlineStr">
        <is>
          <t>Rate 1</t>
        </is>
      </c>
      <c r="E5" s="21" t="inlineStr">
        <is>
          <t>Min 1</t>
        </is>
      </c>
      <c r="F5" s="21" t="inlineStr">
        <is>
          <t>Max 1</t>
        </is>
      </c>
      <c r="G5" s="21" t="inlineStr">
        <is>
          <t>Rate 2</t>
        </is>
      </c>
      <c r="H5" s="21" t="inlineStr">
        <is>
          <t>Min 2</t>
        </is>
      </c>
      <c r="I5" s="21" t="inlineStr">
        <is>
          <t>Max 2</t>
        </is>
      </c>
      <c r="J5" s="21" t="inlineStr">
        <is>
          <t>Rate 3</t>
        </is>
      </c>
      <c r="K5" s="21" t="inlineStr">
        <is>
          <t>Min 3</t>
        </is>
      </c>
      <c r="L5" s="21" t="inlineStr">
        <is>
          <t>Max 3</t>
        </is>
      </c>
      <c r="M5" s="21" t="inlineStr">
        <is>
          <t>Rate 4</t>
        </is>
      </c>
      <c r="N5" s="21" t="inlineStr">
        <is>
          <t>Min 4</t>
        </is>
      </c>
      <c r="O5" s="21" t="inlineStr">
        <is>
          <t>Max 4</t>
        </is>
      </c>
      <c r="P5" s="21" t="inlineStr">
        <is>
          <t>Rate 5</t>
        </is>
      </c>
      <c r="Q5" s="21" t="inlineStr">
        <is>
          <t>Min 5</t>
        </is>
      </c>
      <c r="R5" s="21" t="inlineStr">
        <is>
          <t>Max 5</t>
        </is>
      </c>
      <c r="S5" s="21" t="inlineStr">
        <is>
          <t>Rate 6</t>
        </is>
      </c>
      <c r="T5" s="21" t="inlineStr">
        <is>
          <t>Min 6</t>
        </is>
      </c>
      <c r="U5" s="21" t="inlineStr">
        <is>
          <t>Max 6</t>
        </is>
      </c>
      <c r="V5" s="21" t="inlineStr">
        <is>
          <t>Rate 7</t>
        </is>
      </c>
      <c r="W5" s="21" t="inlineStr">
        <is>
          <t>Min 7</t>
        </is>
      </c>
      <c r="X5" s="21" t="inlineStr">
        <is>
          <t>Max 7</t>
        </is>
      </c>
    </row>
    <row r="6">
      <c r="A6" s="22" t="n">
        <v>2024</v>
      </c>
      <c r="B6" s="22" t="inlineStr">
        <is>
          <t>Single</t>
        </is>
      </c>
      <c r="C6" s="23">
        <f>A6&amp;"|"&amp;B6</f>
        <v/>
      </c>
      <c r="D6" s="24" t="n">
        <v>0.1</v>
      </c>
      <c r="E6" s="25" t="n">
        <v>0</v>
      </c>
      <c r="F6" s="26">
        <f>H6</f>
        <v/>
      </c>
      <c r="G6" s="24" t="n">
        <v>0.12</v>
      </c>
      <c r="H6" s="25" t="n">
        <v>11600</v>
      </c>
      <c r="I6" s="26">
        <f>K6</f>
        <v/>
      </c>
      <c r="J6" s="24" t="n">
        <v>0.22</v>
      </c>
      <c r="K6" s="25" t="n">
        <v>47150</v>
      </c>
      <c r="L6" s="26">
        <f>N6</f>
        <v/>
      </c>
      <c r="M6" s="24" t="n">
        <v>0.24</v>
      </c>
      <c r="N6" s="25" t="n">
        <v>100525</v>
      </c>
      <c r="O6" s="26">
        <f>Q6</f>
        <v/>
      </c>
      <c r="P6" s="24" t="n">
        <v>0.32</v>
      </c>
      <c r="Q6" s="25" t="n">
        <v>191950</v>
      </c>
      <c r="R6" s="26">
        <f>T6</f>
        <v/>
      </c>
      <c r="S6" s="24" t="n">
        <v>0.35</v>
      </c>
      <c r="T6" s="25" t="n">
        <v>243725</v>
      </c>
      <c r="U6" s="26">
        <f>W6</f>
        <v/>
      </c>
      <c r="V6" s="24" t="n">
        <v>0.37</v>
      </c>
      <c r="W6" s="25" t="n">
        <v>609350</v>
      </c>
      <c r="X6" s="26" t="n">
        <v>999999999</v>
      </c>
    </row>
    <row r="7">
      <c r="A7" s="22" t="n">
        <v>2024</v>
      </c>
      <c r="B7" s="22" t="inlineStr">
        <is>
          <t>Married Filing Jointly</t>
        </is>
      </c>
      <c r="C7" s="23">
        <f>A7&amp;"|"&amp;B7</f>
        <v/>
      </c>
      <c r="D7" s="24" t="n">
        <v>0.1</v>
      </c>
      <c r="E7" s="25" t="n">
        <v>0</v>
      </c>
      <c r="F7" s="26">
        <f>H7</f>
        <v/>
      </c>
      <c r="G7" s="24" t="n">
        <v>0.12</v>
      </c>
      <c r="H7" s="25" t="n">
        <v>23200</v>
      </c>
      <c r="I7" s="26">
        <f>K7</f>
        <v/>
      </c>
      <c r="J7" s="24" t="n">
        <v>0.22</v>
      </c>
      <c r="K7" s="25" t="n">
        <v>94300</v>
      </c>
      <c r="L7" s="26">
        <f>N7</f>
        <v/>
      </c>
      <c r="M7" s="24" t="n">
        <v>0.24</v>
      </c>
      <c r="N7" s="25" t="n">
        <v>201050</v>
      </c>
      <c r="O7" s="26">
        <f>Q7</f>
        <v/>
      </c>
      <c r="P7" s="24" t="n">
        <v>0.32</v>
      </c>
      <c r="Q7" s="25" t="n">
        <v>383900</v>
      </c>
      <c r="R7" s="26">
        <f>T7</f>
        <v/>
      </c>
      <c r="S7" s="24" t="n">
        <v>0.35</v>
      </c>
      <c r="T7" s="25" t="n">
        <v>487450</v>
      </c>
      <c r="U7" s="26">
        <f>W7</f>
        <v/>
      </c>
      <c r="V7" s="24" t="n">
        <v>0.37</v>
      </c>
      <c r="W7" s="25" t="n">
        <v>731200</v>
      </c>
      <c r="X7" s="26" t="n">
        <v>999999999</v>
      </c>
    </row>
    <row r="8">
      <c r="A8" s="22" t="n">
        <v>2024</v>
      </c>
      <c r="B8" s="22" t="inlineStr">
        <is>
          <t>Married Filing Separately</t>
        </is>
      </c>
      <c r="C8" s="23">
        <f>A8&amp;"|"&amp;B8</f>
        <v/>
      </c>
      <c r="D8" s="24" t="n">
        <v>0.1</v>
      </c>
      <c r="E8" s="25" t="n">
        <v>0</v>
      </c>
      <c r="F8" s="26">
        <f>H8</f>
        <v/>
      </c>
      <c r="G8" s="24" t="n">
        <v>0.12</v>
      </c>
      <c r="H8" s="25" t="n">
        <v>11600</v>
      </c>
      <c r="I8" s="26">
        <f>K8</f>
        <v/>
      </c>
      <c r="J8" s="24" t="n">
        <v>0.22</v>
      </c>
      <c r="K8" s="25" t="n">
        <v>47150</v>
      </c>
      <c r="L8" s="26">
        <f>N8</f>
        <v/>
      </c>
      <c r="M8" s="24" t="n">
        <v>0.24</v>
      </c>
      <c r="N8" s="25" t="n">
        <v>100525</v>
      </c>
      <c r="O8" s="26">
        <f>Q8</f>
        <v/>
      </c>
      <c r="P8" s="24" t="n">
        <v>0.32</v>
      </c>
      <c r="Q8" s="25" t="n">
        <v>191950</v>
      </c>
      <c r="R8" s="26">
        <f>T8</f>
        <v/>
      </c>
      <c r="S8" s="24" t="n">
        <v>0.35</v>
      </c>
      <c r="T8" s="25" t="n">
        <v>243725</v>
      </c>
      <c r="U8" s="26">
        <f>W8</f>
        <v/>
      </c>
      <c r="V8" s="24" t="n">
        <v>0.37</v>
      </c>
      <c r="W8" s="25" t="n">
        <v>365600</v>
      </c>
      <c r="X8" s="26" t="n">
        <v>999999999</v>
      </c>
    </row>
    <row r="9">
      <c r="A9" s="22" t="n">
        <v>2024</v>
      </c>
      <c r="B9" s="22" t="inlineStr">
        <is>
          <t>Head of Household</t>
        </is>
      </c>
      <c r="C9" s="23">
        <f>A9&amp;"|"&amp;B9</f>
        <v/>
      </c>
      <c r="D9" s="24" t="n">
        <v>0.1</v>
      </c>
      <c r="E9" s="25" t="n">
        <v>0</v>
      </c>
      <c r="F9" s="26">
        <f>H9</f>
        <v/>
      </c>
      <c r="G9" s="24" t="n">
        <v>0.12</v>
      </c>
      <c r="H9" s="25" t="n">
        <v>16550</v>
      </c>
      <c r="I9" s="26">
        <f>K9</f>
        <v/>
      </c>
      <c r="J9" s="24" t="n">
        <v>0.22</v>
      </c>
      <c r="K9" s="25" t="n">
        <v>63100</v>
      </c>
      <c r="L9" s="26">
        <f>N9</f>
        <v/>
      </c>
      <c r="M9" s="24" t="n">
        <v>0.24</v>
      </c>
      <c r="N9" s="25" t="n">
        <v>100500</v>
      </c>
      <c r="O9" s="26">
        <f>Q9</f>
        <v/>
      </c>
      <c r="P9" s="24" t="n">
        <v>0.32</v>
      </c>
      <c r="Q9" s="25" t="n">
        <v>191950</v>
      </c>
      <c r="R9" s="26">
        <f>T9</f>
        <v/>
      </c>
      <c r="S9" s="24" t="n">
        <v>0.35</v>
      </c>
      <c r="T9" s="25" t="n">
        <v>243700</v>
      </c>
      <c r="U9" s="26">
        <f>W9</f>
        <v/>
      </c>
      <c r="V9" s="24" t="n">
        <v>0.37</v>
      </c>
      <c r="W9" s="25" t="n">
        <v>609350</v>
      </c>
      <c r="X9" s="26" t="n">
        <v>999999999</v>
      </c>
    </row>
    <row r="10">
      <c r="A10" s="22" t="n">
        <v>2024</v>
      </c>
      <c r="B10" s="22" t="inlineStr">
        <is>
          <t>Qualifying Surviving Spouse</t>
        </is>
      </c>
      <c r="C10" s="23">
        <f>A10&amp;"|"&amp;B10</f>
        <v/>
      </c>
      <c r="D10" s="24" t="n">
        <v>0.1</v>
      </c>
      <c r="E10" s="25" t="n">
        <v>0</v>
      </c>
      <c r="F10" s="26">
        <f>H10</f>
        <v/>
      </c>
      <c r="G10" s="24" t="n">
        <v>0.12</v>
      </c>
      <c r="H10" s="25" t="n">
        <v>23200</v>
      </c>
      <c r="I10" s="26">
        <f>K10</f>
        <v/>
      </c>
      <c r="J10" s="24" t="n">
        <v>0.22</v>
      </c>
      <c r="K10" s="25" t="n">
        <v>94300</v>
      </c>
      <c r="L10" s="26">
        <f>N10</f>
        <v/>
      </c>
      <c r="M10" s="24" t="n">
        <v>0.24</v>
      </c>
      <c r="N10" s="25" t="n">
        <v>201050</v>
      </c>
      <c r="O10" s="26">
        <f>Q10</f>
        <v/>
      </c>
      <c r="P10" s="24" t="n">
        <v>0.32</v>
      </c>
      <c r="Q10" s="25" t="n">
        <v>383900</v>
      </c>
      <c r="R10" s="26">
        <f>T10</f>
        <v/>
      </c>
      <c r="S10" s="24" t="n">
        <v>0.35</v>
      </c>
      <c r="T10" s="25" t="n">
        <v>487450</v>
      </c>
      <c r="U10" s="26">
        <f>W10</f>
        <v/>
      </c>
      <c r="V10" s="24" t="n">
        <v>0.37</v>
      </c>
      <c r="W10" s="25" t="n">
        <v>731200</v>
      </c>
      <c r="X10" s="26" t="n">
        <v>999999999</v>
      </c>
    </row>
    <row r="11">
      <c r="A11" s="22" t="n">
        <v>2025</v>
      </c>
      <c r="B11" s="22" t="inlineStr">
        <is>
          <t>Single</t>
        </is>
      </c>
      <c r="C11" s="23">
        <f>A11&amp;"|"&amp;B11</f>
        <v/>
      </c>
      <c r="D11" s="24" t="n">
        <v>0.1</v>
      </c>
      <c r="E11" s="25" t="n">
        <v>0</v>
      </c>
      <c r="F11" s="26">
        <f>H11</f>
        <v/>
      </c>
      <c r="G11" s="24" t="n">
        <v>0.12</v>
      </c>
      <c r="H11" s="25" t="n">
        <v>11925</v>
      </c>
      <c r="I11" s="26">
        <f>K11</f>
        <v/>
      </c>
      <c r="J11" s="24" t="n">
        <v>0.22</v>
      </c>
      <c r="K11" s="25" t="n">
        <v>48475</v>
      </c>
      <c r="L11" s="26">
        <f>N11</f>
        <v/>
      </c>
      <c r="M11" s="24" t="n">
        <v>0.24</v>
      </c>
      <c r="N11" s="25" t="n">
        <v>103350</v>
      </c>
      <c r="O11" s="26">
        <f>Q11</f>
        <v/>
      </c>
      <c r="P11" s="24" t="n">
        <v>0.32</v>
      </c>
      <c r="Q11" s="25" t="n">
        <v>197300</v>
      </c>
      <c r="R11" s="26">
        <f>T11</f>
        <v/>
      </c>
      <c r="S11" s="24" t="n">
        <v>0.35</v>
      </c>
      <c r="T11" s="25" t="n">
        <v>250525</v>
      </c>
      <c r="U11" s="26">
        <f>W11</f>
        <v/>
      </c>
      <c r="V11" s="24" t="n">
        <v>0.37</v>
      </c>
      <c r="W11" s="25" t="n">
        <v>626350</v>
      </c>
      <c r="X11" s="26" t="n">
        <v>999999999</v>
      </c>
    </row>
    <row r="12">
      <c r="A12" s="22" t="n">
        <v>2025</v>
      </c>
      <c r="B12" s="22" t="inlineStr">
        <is>
          <t>Married Filing Jointly</t>
        </is>
      </c>
      <c r="C12" s="23">
        <f>A12&amp;"|"&amp;B12</f>
        <v/>
      </c>
      <c r="D12" s="24" t="n">
        <v>0.1</v>
      </c>
      <c r="E12" s="25" t="n">
        <v>0</v>
      </c>
      <c r="F12" s="26">
        <f>H12</f>
        <v/>
      </c>
      <c r="G12" s="24" t="n">
        <v>0.12</v>
      </c>
      <c r="H12" s="25" t="n">
        <v>23850</v>
      </c>
      <c r="I12" s="26">
        <f>K12</f>
        <v/>
      </c>
      <c r="J12" s="24" t="n">
        <v>0.22</v>
      </c>
      <c r="K12" s="25" t="n">
        <v>96950</v>
      </c>
      <c r="L12" s="26">
        <f>N12</f>
        <v/>
      </c>
      <c r="M12" s="24" t="n">
        <v>0.24</v>
      </c>
      <c r="N12" s="25" t="n">
        <v>206700</v>
      </c>
      <c r="O12" s="26">
        <f>Q12</f>
        <v/>
      </c>
      <c r="P12" s="24" t="n">
        <v>0.32</v>
      </c>
      <c r="Q12" s="25" t="n">
        <v>394600</v>
      </c>
      <c r="R12" s="26">
        <f>T12</f>
        <v/>
      </c>
      <c r="S12" s="24" t="n">
        <v>0.35</v>
      </c>
      <c r="T12" s="25" t="n">
        <v>501050</v>
      </c>
      <c r="U12" s="26">
        <f>W12</f>
        <v/>
      </c>
      <c r="V12" s="24" t="n">
        <v>0.37</v>
      </c>
      <c r="W12" s="25" t="n">
        <v>751600</v>
      </c>
      <c r="X12" s="26" t="n">
        <v>999999999</v>
      </c>
    </row>
    <row r="13">
      <c r="A13" s="22" t="n">
        <v>2025</v>
      </c>
      <c r="B13" s="22" t="inlineStr">
        <is>
          <t>Married Filing Separately</t>
        </is>
      </c>
      <c r="C13" s="23">
        <f>A13&amp;"|"&amp;B13</f>
        <v/>
      </c>
      <c r="D13" s="24" t="n">
        <v>0.1</v>
      </c>
      <c r="E13" s="25" t="n">
        <v>0</v>
      </c>
      <c r="F13" s="26">
        <f>H13</f>
        <v/>
      </c>
      <c r="G13" s="24" t="n">
        <v>0.12</v>
      </c>
      <c r="H13" s="25" t="n">
        <v>11925</v>
      </c>
      <c r="I13" s="26">
        <f>K13</f>
        <v/>
      </c>
      <c r="J13" s="24" t="n">
        <v>0.22</v>
      </c>
      <c r="K13" s="25" t="n">
        <v>48475</v>
      </c>
      <c r="L13" s="26">
        <f>N13</f>
        <v/>
      </c>
      <c r="M13" s="24" t="n">
        <v>0.24</v>
      </c>
      <c r="N13" s="25" t="n">
        <v>103350</v>
      </c>
      <c r="O13" s="26">
        <f>Q13</f>
        <v/>
      </c>
      <c r="P13" s="24" t="n">
        <v>0.32</v>
      </c>
      <c r="Q13" s="25" t="n">
        <v>197300</v>
      </c>
      <c r="R13" s="26">
        <f>T13</f>
        <v/>
      </c>
      <c r="S13" s="24" t="n">
        <v>0.35</v>
      </c>
      <c r="T13" s="25" t="n">
        <v>250525</v>
      </c>
      <c r="U13" s="26">
        <f>W13</f>
        <v/>
      </c>
      <c r="V13" s="24" t="n">
        <v>0.37</v>
      </c>
      <c r="W13" s="25" t="n">
        <v>375800</v>
      </c>
      <c r="X13" s="26" t="n">
        <v>999999999</v>
      </c>
    </row>
    <row r="14">
      <c r="A14" s="22" t="n">
        <v>2025</v>
      </c>
      <c r="B14" s="22" t="inlineStr">
        <is>
          <t>Head of Household</t>
        </is>
      </c>
      <c r="C14" s="23">
        <f>A14&amp;"|"&amp;B14</f>
        <v/>
      </c>
      <c r="D14" s="24" t="n">
        <v>0.1</v>
      </c>
      <c r="E14" s="25" t="n">
        <v>0</v>
      </c>
      <c r="F14" s="26">
        <f>H14</f>
        <v/>
      </c>
      <c r="G14" s="24" t="n">
        <v>0.12</v>
      </c>
      <c r="H14" s="25" t="n">
        <v>17000</v>
      </c>
      <c r="I14" s="26">
        <f>K14</f>
        <v/>
      </c>
      <c r="J14" s="24" t="n">
        <v>0.22</v>
      </c>
      <c r="K14" s="25" t="n">
        <v>64850</v>
      </c>
      <c r="L14" s="26">
        <f>N14</f>
        <v/>
      </c>
      <c r="M14" s="24" t="n">
        <v>0.24</v>
      </c>
      <c r="N14" s="25" t="n">
        <v>103350</v>
      </c>
      <c r="O14" s="26">
        <f>Q14</f>
        <v/>
      </c>
      <c r="P14" s="24" t="n">
        <v>0.32</v>
      </c>
      <c r="Q14" s="25" t="n">
        <v>197300</v>
      </c>
      <c r="R14" s="26">
        <f>T14</f>
        <v/>
      </c>
      <c r="S14" s="24" t="n">
        <v>0.35</v>
      </c>
      <c r="T14" s="25" t="n">
        <v>250500</v>
      </c>
      <c r="U14" s="26">
        <f>W14</f>
        <v/>
      </c>
      <c r="V14" s="24" t="n">
        <v>0.37</v>
      </c>
      <c r="W14" s="25" t="n">
        <v>626350</v>
      </c>
      <c r="X14" s="26" t="n">
        <v>999999999</v>
      </c>
    </row>
    <row r="15">
      <c r="A15" s="22" t="n">
        <v>2025</v>
      </c>
      <c r="B15" s="22" t="inlineStr">
        <is>
          <t>Qualifying Surviving Spouse</t>
        </is>
      </c>
      <c r="C15" s="23">
        <f>A15&amp;"|"&amp;B15</f>
        <v/>
      </c>
      <c r="D15" s="24" t="n">
        <v>0.1</v>
      </c>
      <c r="E15" s="25" t="n">
        <v>0</v>
      </c>
      <c r="F15" s="26">
        <f>H15</f>
        <v/>
      </c>
      <c r="G15" s="24" t="n">
        <v>0.12</v>
      </c>
      <c r="H15" s="25" t="n">
        <v>23850</v>
      </c>
      <c r="I15" s="26">
        <f>K15</f>
        <v/>
      </c>
      <c r="J15" s="24" t="n">
        <v>0.22</v>
      </c>
      <c r="K15" s="25" t="n">
        <v>96950</v>
      </c>
      <c r="L15" s="26">
        <f>N15</f>
        <v/>
      </c>
      <c r="M15" s="24" t="n">
        <v>0.24</v>
      </c>
      <c r="N15" s="25" t="n">
        <v>206700</v>
      </c>
      <c r="O15" s="26">
        <f>Q15</f>
        <v/>
      </c>
      <c r="P15" s="24" t="n">
        <v>0.32</v>
      </c>
      <c r="Q15" s="25" t="n">
        <v>394600</v>
      </c>
      <c r="R15" s="26">
        <f>T15</f>
        <v/>
      </c>
      <c r="S15" s="24" t="n">
        <v>0.35</v>
      </c>
      <c r="T15" s="25" t="n">
        <v>501050</v>
      </c>
      <c r="U15" s="26">
        <f>W15</f>
        <v/>
      </c>
      <c r="V15" s="24" t="n">
        <v>0.37</v>
      </c>
      <c r="W15" s="25" t="n">
        <v>751600</v>
      </c>
      <c r="X15" s="26" t="n">
        <v>999999999</v>
      </c>
    </row>
    <row r="17" ht="18" customHeight="1">
      <c r="A17" s="6" t="inlineStr">
        <is>
          <t>B. Long-Term Capital Gains / Qualified Dividend Brackets (0% / 15% / 20%)</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21" t="inlineStr">
        <is>
          <t>Year</t>
        </is>
      </c>
      <c r="B18" s="21" t="inlineStr">
        <is>
          <t>Filing Status</t>
        </is>
      </c>
      <c r="C18" s="21" t="inlineStr">
        <is>
          <t>Key</t>
        </is>
      </c>
      <c r="D18" s="21" t="inlineStr">
        <is>
          <t>Rate 1</t>
        </is>
      </c>
      <c r="E18" s="21" t="inlineStr">
        <is>
          <t>Min 1</t>
        </is>
      </c>
      <c r="F18" s="21" t="inlineStr">
        <is>
          <t>Max 1</t>
        </is>
      </c>
      <c r="G18" s="21" t="inlineStr">
        <is>
          <t>Rate 2</t>
        </is>
      </c>
      <c r="H18" s="21" t="inlineStr">
        <is>
          <t>Min 2</t>
        </is>
      </c>
      <c r="I18" s="21" t="inlineStr">
        <is>
          <t>Max 2</t>
        </is>
      </c>
      <c r="J18" s="21" t="inlineStr">
        <is>
          <t>Rate 3</t>
        </is>
      </c>
      <c r="K18" s="21" t="inlineStr">
        <is>
          <t>Min 3</t>
        </is>
      </c>
      <c r="L18" s="21" t="inlineStr">
        <is>
          <t>Max 3</t>
        </is>
      </c>
    </row>
    <row r="19">
      <c r="A19" s="22" t="n">
        <v>2024</v>
      </c>
      <c r="B19" s="22" t="inlineStr">
        <is>
          <t>Single</t>
        </is>
      </c>
      <c r="C19" s="23">
        <f>A19&amp;"|"&amp;B19</f>
        <v/>
      </c>
      <c r="D19" s="24" t="n">
        <v>0</v>
      </c>
      <c r="E19" s="25" t="n">
        <v>0</v>
      </c>
      <c r="F19" s="26">
        <f>H19</f>
        <v/>
      </c>
      <c r="G19" s="24" t="n">
        <v>0.15</v>
      </c>
      <c r="H19" s="25" t="n">
        <v>47025</v>
      </c>
      <c r="I19" s="26">
        <f>K19</f>
        <v/>
      </c>
      <c r="J19" s="24" t="n">
        <v>0.2</v>
      </c>
      <c r="K19" s="25" t="n">
        <v>518900</v>
      </c>
      <c r="L19" s="26" t="n">
        <v>999999999</v>
      </c>
    </row>
    <row r="20">
      <c r="A20" s="22" t="n">
        <v>2024</v>
      </c>
      <c r="B20" s="22" t="inlineStr">
        <is>
          <t>Married Filing Jointly</t>
        </is>
      </c>
      <c r="C20" s="23">
        <f>A20&amp;"|"&amp;B20</f>
        <v/>
      </c>
      <c r="D20" s="24" t="n">
        <v>0</v>
      </c>
      <c r="E20" s="25" t="n">
        <v>0</v>
      </c>
      <c r="F20" s="26">
        <f>H20</f>
        <v/>
      </c>
      <c r="G20" s="24" t="n">
        <v>0.15</v>
      </c>
      <c r="H20" s="25" t="n">
        <v>94050</v>
      </c>
      <c r="I20" s="26">
        <f>K20</f>
        <v/>
      </c>
      <c r="J20" s="24" t="n">
        <v>0.2</v>
      </c>
      <c r="K20" s="25" t="n">
        <v>583750</v>
      </c>
      <c r="L20" s="26" t="n">
        <v>999999999</v>
      </c>
    </row>
    <row r="21">
      <c r="A21" s="22" t="n">
        <v>2024</v>
      </c>
      <c r="B21" s="22" t="inlineStr">
        <is>
          <t>Married Filing Separately</t>
        </is>
      </c>
      <c r="C21" s="23">
        <f>A21&amp;"|"&amp;B21</f>
        <v/>
      </c>
      <c r="D21" s="24" t="n">
        <v>0</v>
      </c>
      <c r="E21" s="25" t="n">
        <v>0</v>
      </c>
      <c r="F21" s="26">
        <f>H21</f>
        <v/>
      </c>
      <c r="G21" s="24" t="n">
        <v>0.15</v>
      </c>
      <c r="H21" s="25" t="n">
        <v>47025</v>
      </c>
      <c r="I21" s="26">
        <f>K21</f>
        <v/>
      </c>
      <c r="J21" s="24" t="n">
        <v>0.2</v>
      </c>
      <c r="K21" s="25" t="n">
        <v>291850</v>
      </c>
      <c r="L21" s="26" t="n">
        <v>999999999</v>
      </c>
    </row>
    <row r="22">
      <c r="A22" s="22" t="n">
        <v>2024</v>
      </c>
      <c r="B22" s="22" t="inlineStr">
        <is>
          <t>Head of Household</t>
        </is>
      </c>
      <c r="C22" s="23">
        <f>A22&amp;"|"&amp;B22</f>
        <v/>
      </c>
      <c r="D22" s="24" t="n">
        <v>0</v>
      </c>
      <c r="E22" s="25" t="n">
        <v>0</v>
      </c>
      <c r="F22" s="26">
        <f>H22</f>
        <v/>
      </c>
      <c r="G22" s="24" t="n">
        <v>0.15</v>
      </c>
      <c r="H22" s="25" t="n">
        <v>63000</v>
      </c>
      <c r="I22" s="26">
        <f>K22</f>
        <v/>
      </c>
      <c r="J22" s="24" t="n">
        <v>0.2</v>
      </c>
      <c r="K22" s="25" t="n">
        <v>551350</v>
      </c>
      <c r="L22" s="26" t="n">
        <v>999999999</v>
      </c>
    </row>
    <row r="23">
      <c r="A23" s="22" t="n">
        <v>2024</v>
      </c>
      <c r="B23" s="22" t="inlineStr">
        <is>
          <t>Qualifying Surviving Spouse</t>
        </is>
      </c>
      <c r="C23" s="23">
        <f>A23&amp;"|"&amp;B23</f>
        <v/>
      </c>
      <c r="D23" s="24" t="n">
        <v>0</v>
      </c>
      <c r="E23" s="25" t="n">
        <v>0</v>
      </c>
      <c r="F23" s="26">
        <f>H23</f>
        <v/>
      </c>
      <c r="G23" s="24" t="n">
        <v>0.15</v>
      </c>
      <c r="H23" s="25" t="n">
        <v>94050</v>
      </c>
      <c r="I23" s="26">
        <f>K23</f>
        <v/>
      </c>
      <c r="J23" s="24" t="n">
        <v>0.2</v>
      </c>
      <c r="K23" s="25" t="n">
        <v>583750</v>
      </c>
      <c r="L23" s="26" t="n">
        <v>999999999</v>
      </c>
    </row>
    <row r="24">
      <c r="A24" s="22" t="n">
        <v>2025</v>
      </c>
      <c r="B24" s="22" t="inlineStr">
        <is>
          <t>Single</t>
        </is>
      </c>
      <c r="C24" s="23">
        <f>A24&amp;"|"&amp;B24</f>
        <v/>
      </c>
      <c r="D24" s="24" t="n">
        <v>0</v>
      </c>
      <c r="E24" s="25" t="n">
        <v>0</v>
      </c>
      <c r="F24" s="26">
        <f>H24</f>
        <v/>
      </c>
      <c r="G24" s="24" t="n">
        <v>0.15</v>
      </c>
      <c r="H24" s="25" t="n">
        <v>48350</v>
      </c>
      <c r="I24" s="26">
        <f>K24</f>
        <v/>
      </c>
      <c r="J24" s="24" t="n">
        <v>0.2</v>
      </c>
      <c r="K24" s="25" t="n">
        <v>533400</v>
      </c>
      <c r="L24" s="26" t="n">
        <v>999999999</v>
      </c>
    </row>
    <row r="25">
      <c r="A25" s="22" t="n">
        <v>2025</v>
      </c>
      <c r="B25" s="22" t="inlineStr">
        <is>
          <t>Married Filing Jointly</t>
        </is>
      </c>
      <c r="C25" s="23">
        <f>A25&amp;"|"&amp;B25</f>
        <v/>
      </c>
      <c r="D25" s="24" t="n">
        <v>0</v>
      </c>
      <c r="E25" s="25" t="n">
        <v>0</v>
      </c>
      <c r="F25" s="26">
        <f>H25</f>
        <v/>
      </c>
      <c r="G25" s="24" t="n">
        <v>0.15</v>
      </c>
      <c r="H25" s="25" t="n">
        <v>96700</v>
      </c>
      <c r="I25" s="26">
        <f>K25</f>
        <v/>
      </c>
      <c r="J25" s="24" t="n">
        <v>0.2</v>
      </c>
      <c r="K25" s="25" t="n">
        <v>600050</v>
      </c>
      <c r="L25" s="26" t="n">
        <v>999999999</v>
      </c>
    </row>
    <row r="26">
      <c r="A26" s="22" t="n">
        <v>2025</v>
      </c>
      <c r="B26" s="22" t="inlineStr">
        <is>
          <t>Married Filing Separately</t>
        </is>
      </c>
      <c r="C26" s="23">
        <f>A26&amp;"|"&amp;B26</f>
        <v/>
      </c>
      <c r="D26" s="24" t="n">
        <v>0</v>
      </c>
      <c r="E26" s="25" t="n">
        <v>0</v>
      </c>
      <c r="F26" s="26">
        <f>H26</f>
        <v/>
      </c>
      <c r="G26" s="24" t="n">
        <v>0.15</v>
      </c>
      <c r="H26" s="25" t="n">
        <v>48350</v>
      </c>
      <c r="I26" s="26">
        <f>K26</f>
        <v/>
      </c>
      <c r="J26" s="24" t="n">
        <v>0.2</v>
      </c>
      <c r="K26" s="25" t="n">
        <v>300000</v>
      </c>
      <c r="L26" s="26" t="n">
        <v>999999999</v>
      </c>
    </row>
    <row r="27">
      <c r="A27" s="22" t="n">
        <v>2025</v>
      </c>
      <c r="B27" s="22" t="inlineStr">
        <is>
          <t>Head of Household</t>
        </is>
      </c>
      <c r="C27" s="23">
        <f>A27&amp;"|"&amp;B27</f>
        <v/>
      </c>
      <c r="D27" s="24" t="n">
        <v>0</v>
      </c>
      <c r="E27" s="25" t="n">
        <v>0</v>
      </c>
      <c r="F27" s="26">
        <f>H27</f>
        <v/>
      </c>
      <c r="G27" s="24" t="n">
        <v>0.15</v>
      </c>
      <c r="H27" s="25" t="n">
        <v>64750</v>
      </c>
      <c r="I27" s="26">
        <f>K27</f>
        <v/>
      </c>
      <c r="J27" s="24" t="n">
        <v>0.2</v>
      </c>
      <c r="K27" s="25" t="n">
        <v>566700</v>
      </c>
      <c r="L27" s="26" t="n">
        <v>999999999</v>
      </c>
    </row>
    <row r="28">
      <c r="A28" s="22" t="n">
        <v>2025</v>
      </c>
      <c r="B28" s="22" t="inlineStr">
        <is>
          <t>Qualifying Surviving Spouse</t>
        </is>
      </c>
      <c r="C28" s="23">
        <f>A28&amp;"|"&amp;B28</f>
        <v/>
      </c>
      <c r="D28" s="24" t="n">
        <v>0</v>
      </c>
      <c r="E28" s="25" t="n">
        <v>0</v>
      </c>
      <c r="F28" s="26">
        <f>H28</f>
        <v/>
      </c>
      <c r="G28" s="24" t="n">
        <v>0.15</v>
      </c>
      <c r="H28" s="25" t="n">
        <v>96700</v>
      </c>
      <c r="I28" s="26">
        <f>K28</f>
        <v/>
      </c>
      <c r="J28" s="24" t="n">
        <v>0.2</v>
      </c>
      <c r="K28" s="25" t="n">
        <v>600050</v>
      </c>
      <c r="L28" s="26" t="n">
        <v>999999999</v>
      </c>
    </row>
    <row r="30" ht="18" customHeight="1">
      <c r="A30" s="6" t="inlineStr">
        <is>
          <t>C. Standard Deduction</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21" t="inlineStr">
        <is>
          <t>Year</t>
        </is>
      </c>
      <c r="B31" s="21" t="inlineStr">
        <is>
          <t>Filing Status</t>
        </is>
      </c>
      <c r="C31" s="21" t="inlineStr">
        <is>
          <t>Key</t>
        </is>
      </c>
      <c r="D31" s="21" t="inlineStr">
        <is>
          <t>Standard Deduction</t>
        </is>
      </c>
      <c r="E31" s="21" t="inlineStr">
        <is>
          <t>Addl. Deduction (65+/Blind, per occurrence)</t>
        </is>
      </c>
    </row>
    <row r="32">
      <c r="A32" s="27" t="n">
        <v>2024</v>
      </c>
      <c r="B32" s="28" t="inlineStr">
        <is>
          <t>Single</t>
        </is>
      </c>
      <c r="C32" s="23">
        <f>A32&amp;"|"&amp;B32</f>
        <v/>
      </c>
      <c r="D32" s="29" t="n">
        <v>14600</v>
      </c>
      <c r="E32" s="29" t="n">
        <v>1950</v>
      </c>
    </row>
    <row r="33">
      <c r="A33" s="27" t="n">
        <v>2024</v>
      </c>
      <c r="B33" s="28" t="inlineStr">
        <is>
          <t>Married Filing Jointly</t>
        </is>
      </c>
      <c r="C33" s="23">
        <f>A33&amp;"|"&amp;B33</f>
        <v/>
      </c>
      <c r="D33" s="29" t="n">
        <v>29200</v>
      </c>
      <c r="E33" s="29" t="n">
        <v>1550</v>
      </c>
    </row>
    <row r="34">
      <c r="A34" s="27" t="n">
        <v>2024</v>
      </c>
      <c r="B34" s="28" t="inlineStr">
        <is>
          <t>Married Filing Separately</t>
        </is>
      </c>
      <c r="C34" s="23">
        <f>A34&amp;"|"&amp;B34</f>
        <v/>
      </c>
      <c r="D34" s="29" t="n">
        <v>14600</v>
      </c>
      <c r="E34" s="29" t="n">
        <v>1550</v>
      </c>
    </row>
    <row r="35">
      <c r="A35" s="27" t="n">
        <v>2024</v>
      </c>
      <c r="B35" s="28" t="inlineStr">
        <is>
          <t>Head of Household</t>
        </is>
      </c>
      <c r="C35" s="23">
        <f>A35&amp;"|"&amp;B35</f>
        <v/>
      </c>
      <c r="D35" s="29" t="n">
        <v>21900</v>
      </c>
      <c r="E35" s="29" t="n">
        <v>1950</v>
      </c>
    </row>
    <row r="36">
      <c r="A36" s="27" t="n">
        <v>2024</v>
      </c>
      <c r="B36" s="28" t="inlineStr">
        <is>
          <t>Qualifying Surviving Spouse</t>
        </is>
      </c>
      <c r="C36" s="23">
        <f>A36&amp;"|"&amp;B36</f>
        <v/>
      </c>
      <c r="D36" s="29" t="n">
        <v>29200</v>
      </c>
      <c r="E36" s="29" t="n">
        <v>1550</v>
      </c>
    </row>
    <row r="37">
      <c r="A37" s="27" t="n">
        <v>2025</v>
      </c>
      <c r="B37" s="28" t="inlineStr">
        <is>
          <t>Single</t>
        </is>
      </c>
      <c r="C37" s="23">
        <f>A37&amp;"|"&amp;B37</f>
        <v/>
      </c>
      <c r="D37" s="29" t="n">
        <v>15000</v>
      </c>
      <c r="E37" s="29" t="n">
        <v>2000</v>
      </c>
    </row>
    <row r="38">
      <c r="A38" s="27" t="n">
        <v>2025</v>
      </c>
      <c r="B38" s="28" t="inlineStr">
        <is>
          <t>Married Filing Jointly</t>
        </is>
      </c>
      <c r="C38" s="23">
        <f>A38&amp;"|"&amp;B38</f>
        <v/>
      </c>
      <c r="D38" s="29" t="n">
        <v>30000</v>
      </c>
      <c r="E38" s="29" t="n">
        <v>1600</v>
      </c>
    </row>
    <row r="39">
      <c r="A39" s="27" t="n">
        <v>2025</v>
      </c>
      <c r="B39" s="28" t="inlineStr">
        <is>
          <t>Married Filing Separately</t>
        </is>
      </c>
      <c r="C39" s="23">
        <f>A39&amp;"|"&amp;B39</f>
        <v/>
      </c>
      <c r="D39" s="29" t="n">
        <v>15000</v>
      </c>
      <c r="E39" s="29" t="n">
        <v>1600</v>
      </c>
    </row>
    <row r="40">
      <c r="A40" s="27" t="n">
        <v>2025</v>
      </c>
      <c r="B40" s="28" t="inlineStr">
        <is>
          <t>Head of Household</t>
        </is>
      </c>
      <c r="C40" s="23">
        <f>A40&amp;"|"&amp;B40</f>
        <v/>
      </c>
      <c r="D40" s="29" t="n">
        <v>22500</v>
      </c>
      <c r="E40" s="29" t="n">
        <v>2000</v>
      </c>
    </row>
    <row r="41">
      <c r="A41" s="27" t="n">
        <v>2025</v>
      </c>
      <c r="B41" s="28" t="inlineStr">
        <is>
          <t>Qualifying Surviving Spouse</t>
        </is>
      </c>
      <c r="C41" s="23">
        <f>A41&amp;"|"&amp;B41</f>
        <v/>
      </c>
      <c r="D41" s="29" t="n">
        <v>30000</v>
      </c>
      <c r="E41" s="29" t="n">
        <v>1600</v>
      </c>
    </row>
    <row r="43" ht="18" customHeight="1">
      <c r="A43" s="6" t="inlineStr">
        <is>
          <t>D. NIIT, Additional Medicare Tax &amp; Capital-Loss Thresholds (fixed by statute, not inflation-indexed)</t>
        </is>
      </c>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row>
    <row r="44">
      <c r="A44" s="21" t="inlineStr">
        <is>
          <t>Filing Status</t>
        </is>
      </c>
      <c r="B44" s="21" t="inlineStr">
        <is>
          <t>NIIT MAGI Threshold</t>
        </is>
      </c>
      <c r="C44" s="21" t="inlineStr">
        <is>
          <t>Addl. Medicare Threshold</t>
        </is>
      </c>
      <c r="D44" s="21" t="inlineStr">
        <is>
          <t>Capital Loss Limit vs. Ordinary Income</t>
        </is>
      </c>
    </row>
    <row r="45">
      <c r="A45" s="28" t="inlineStr">
        <is>
          <t>Single</t>
        </is>
      </c>
      <c r="B45" s="29" t="n">
        <v>200000</v>
      </c>
      <c r="C45" s="29" t="n">
        <v>200000</v>
      </c>
      <c r="D45" s="29" t="n">
        <v>3000</v>
      </c>
    </row>
    <row r="46">
      <c r="A46" s="28" t="inlineStr">
        <is>
          <t>Married Filing Jointly</t>
        </is>
      </c>
      <c r="B46" s="29" t="n">
        <v>250000</v>
      </c>
      <c r="C46" s="29" t="n">
        <v>250000</v>
      </c>
      <c r="D46" s="29" t="n">
        <v>3000</v>
      </c>
    </row>
    <row r="47">
      <c r="A47" s="28" t="inlineStr">
        <is>
          <t>Married Filing Separately</t>
        </is>
      </c>
      <c r="B47" s="29" t="n">
        <v>125000</v>
      </c>
      <c r="C47" s="29" t="n">
        <v>125000</v>
      </c>
      <c r="D47" s="29" t="n">
        <v>1500</v>
      </c>
    </row>
    <row r="48">
      <c r="A48" s="28" t="inlineStr">
        <is>
          <t>Head of Household</t>
        </is>
      </c>
      <c r="B48" s="29" t="n">
        <v>200000</v>
      </c>
      <c r="C48" s="29" t="n">
        <v>200000</v>
      </c>
      <c r="D48" s="29" t="n">
        <v>3000</v>
      </c>
    </row>
    <row r="49">
      <c r="A49" s="28" t="inlineStr">
        <is>
          <t>Qualifying Surviving Spouse</t>
        </is>
      </c>
      <c r="B49" s="29" t="n">
        <v>250000</v>
      </c>
      <c r="C49" s="29" t="n">
        <v>250000</v>
      </c>
      <c r="D49" s="29" t="n">
        <v>3000</v>
      </c>
    </row>
    <row r="51" ht="18" customHeight="1">
      <c r="A51" s="6" t="inlineStr">
        <is>
          <t>E. SALT (State &amp; Local Tax) Itemized Deduction Cap</t>
        </is>
      </c>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row>
    <row r="52">
      <c r="A52" s="21" t="inlineStr">
        <is>
          <t>Year</t>
        </is>
      </c>
      <c r="B52" s="21" t="inlineStr">
        <is>
          <t>Filing Status</t>
        </is>
      </c>
      <c r="C52" s="21" t="inlineStr">
        <is>
          <t>Key</t>
        </is>
      </c>
      <c r="D52" s="21" t="inlineStr">
        <is>
          <t>SALT Cap</t>
        </is>
      </c>
    </row>
    <row r="53">
      <c r="A53" s="27" t="n">
        <v>2024</v>
      </c>
      <c r="B53" s="28" t="inlineStr">
        <is>
          <t>Single</t>
        </is>
      </c>
      <c r="C53" s="23">
        <f>A53&amp;"|"&amp;B53</f>
        <v/>
      </c>
      <c r="D53" s="29" t="n">
        <v>10000</v>
      </c>
    </row>
    <row r="54">
      <c r="A54" s="27" t="n">
        <v>2024</v>
      </c>
      <c r="B54" s="28" t="inlineStr">
        <is>
          <t>Married Filing Jointly</t>
        </is>
      </c>
      <c r="C54" s="23">
        <f>A54&amp;"|"&amp;B54</f>
        <v/>
      </c>
      <c r="D54" s="29" t="n">
        <v>10000</v>
      </c>
    </row>
    <row r="55">
      <c r="A55" s="27" t="n">
        <v>2024</v>
      </c>
      <c r="B55" s="28" t="inlineStr">
        <is>
          <t>Married Filing Separately</t>
        </is>
      </c>
      <c r="C55" s="23">
        <f>A55&amp;"|"&amp;B55</f>
        <v/>
      </c>
      <c r="D55" s="29" t="n">
        <v>5000</v>
      </c>
    </row>
    <row r="56">
      <c r="A56" s="27" t="n">
        <v>2024</v>
      </c>
      <c r="B56" s="28" t="inlineStr">
        <is>
          <t>Head of Household</t>
        </is>
      </c>
      <c r="C56" s="23">
        <f>A56&amp;"|"&amp;B56</f>
        <v/>
      </c>
      <c r="D56" s="29" t="n">
        <v>10000</v>
      </c>
    </row>
    <row r="57">
      <c r="A57" s="27" t="n">
        <v>2024</v>
      </c>
      <c r="B57" s="28" t="inlineStr">
        <is>
          <t>Qualifying Surviving Spouse</t>
        </is>
      </c>
      <c r="C57" s="23">
        <f>A57&amp;"|"&amp;B57</f>
        <v/>
      </c>
      <c r="D57" s="29" t="n">
        <v>10000</v>
      </c>
    </row>
    <row r="58">
      <c r="A58" s="27" t="n">
        <v>2025</v>
      </c>
      <c r="B58" s="28" t="inlineStr">
        <is>
          <t>Single</t>
        </is>
      </c>
      <c r="C58" s="23">
        <f>A58&amp;"|"&amp;B58</f>
        <v/>
      </c>
      <c r="D58" s="29" t="n">
        <v>40000</v>
      </c>
    </row>
    <row r="59">
      <c r="A59" s="27" t="n">
        <v>2025</v>
      </c>
      <c r="B59" s="28" t="inlineStr">
        <is>
          <t>Married Filing Jointly</t>
        </is>
      </c>
      <c r="C59" s="23">
        <f>A59&amp;"|"&amp;B59</f>
        <v/>
      </c>
      <c r="D59" s="29" t="n">
        <v>40000</v>
      </c>
    </row>
    <row r="60">
      <c r="A60" s="27" t="n">
        <v>2025</v>
      </c>
      <c r="B60" s="28" t="inlineStr">
        <is>
          <t>Married Filing Separately</t>
        </is>
      </c>
      <c r="C60" s="23">
        <f>A60&amp;"|"&amp;B60</f>
        <v/>
      </c>
      <c r="D60" s="29" t="n">
        <v>20000</v>
      </c>
    </row>
    <row r="61">
      <c r="A61" s="27" t="n">
        <v>2025</v>
      </c>
      <c r="B61" s="28" t="inlineStr">
        <is>
          <t>Head of Household</t>
        </is>
      </c>
      <c r="C61" s="23">
        <f>A61&amp;"|"&amp;B61</f>
        <v/>
      </c>
      <c r="D61" s="29" t="n">
        <v>40000</v>
      </c>
    </row>
    <row r="62">
      <c r="A62" s="27" t="n">
        <v>2025</v>
      </c>
      <c r="B62" s="28" t="inlineStr">
        <is>
          <t>Qualifying Surviving Spouse</t>
        </is>
      </c>
      <c r="C62" s="23">
        <f>A62&amp;"|"&amp;B62</f>
        <v/>
      </c>
      <c r="D62" s="29" t="n">
        <v>40000</v>
      </c>
    </row>
    <row r="64" ht="18" customHeight="1">
      <c r="A64" s="6" t="inlineStr">
        <is>
          <t>F. Payroll (FICA) &amp; Self-Employment Tax Parameters</t>
        </is>
      </c>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row>
    <row r="65">
      <c r="A65" s="21" t="inlineStr">
        <is>
          <t>Year</t>
        </is>
      </c>
      <c r="B65" s="21" t="inlineStr">
        <is>
          <t>SS Wage Base</t>
        </is>
      </c>
      <c r="C65" s="21" t="inlineStr">
        <is>
          <t>SS Rate (EE)</t>
        </is>
      </c>
      <c r="D65" s="21" t="inlineStr">
        <is>
          <t>SS Rate (SE)</t>
        </is>
      </c>
      <c r="E65" s="21" t="inlineStr">
        <is>
          <t>Medicare Rate (EE)</t>
        </is>
      </c>
      <c r="F65" s="21" t="inlineStr">
        <is>
          <t>Medicare Rate (SE)</t>
        </is>
      </c>
      <c r="G65" s="21" t="inlineStr">
        <is>
          <t>SE Net Earnings Factor</t>
        </is>
      </c>
      <c r="H65" s="21" t="inlineStr">
        <is>
          <t>NIIT Rate</t>
        </is>
      </c>
      <c r="I65" s="21" t="inlineStr">
        <is>
          <t>Addl. Medicare Rate</t>
        </is>
      </c>
    </row>
    <row r="66">
      <c r="A66" s="27" t="n">
        <v>2024</v>
      </c>
      <c r="B66" s="29" t="n">
        <v>168600</v>
      </c>
      <c r="C66" s="30" t="n">
        <v>0.062</v>
      </c>
      <c r="D66" s="30" t="n">
        <v>0.124</v>
      </c>
      <c r="E66" s="30" t="n">
        <v>0.0145</v>
      </c>
      <c r="F66" s="30" t="n">
        <v>0.029</v>
      </c>
      <c r="G66" s="30" t="n">
        <v>0.9235</v>
      </c>
      <c r="H66" s="30" t="n">
        <v>0.038</v>
      </c>
      <c r="I66" s="30" t="n">
        <v>0.008999999999999999</v>
      </c>
    </row>
    <row r="67">
      <c r="A67" s="27" t="n">
        <v>2025</v>
      </c>
      <c r="B67" s="29" t="n">
        <v>176100</v>
      </c>
      <c r="C67" s="30" t="n">
        <v>0.062</v>
      </c>
      <c r="D67" s="30" t="n">
        <v>0.124</v>
      </c>
      <c r="E67" s="30" t="n">
        <v>0.0145</v>
      </c>
      <c r="F67" s="30" t="n">
        <v>0.029</v>
      </c>
      <c r="G67" s="30" t="n">
        <v>0.9235</v>
      </c>
      <c r="H67" s="30" t="n">
        <v>0.038</v>
      </c>
      <c r="I67" s="30" t="n">
        <v>0.008999999999999999</v>
      </c>
    </row>
    <row r="69" ht="18" customHeight="1">
      <c r="A69" s="6" t="inlineStr">
        <is>
          <t>G. Retirement Plan &amp; HSA Contribution Limits</t>
        </is>
      </c>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row>
    <row r="70">
      <c r="A70" s="21" t="inlineStr">
        <is>
          <t>Year</t>
        </is>
      </c>
      <c r="B70" s="21" t="inlineStr">
        <is>
          <t>401(k)/403(b)/457 Elective</t>
        </is>
      </c>
      <c r="C70" s="21" t="inlineStr">
        <is>
          <t>Catch-Up (50+)</t>
        </is>
      </c>
      <c r="D70" s="21" t="inlineStr">
        <is>
          <t>SIMPLE Elective</t>
        </is>
      </c>
      <c r="E70" s="21" t="inlineStr">
        <is>
          <t>SIMPLE Catch-Up</t>
        </is>
      </c>
      <c r="F70" s="21" t="inlineStr">
        <is>
          <t>IRA Limit</t>
        </is>
      </c>
      <c r="G70" s="21" t="inlineStr">
        <is>
          <t>IRA Catch-Up (50+)</t>
        </is>
      </c>
      <c r="H70" s="21" t="inlineStr">
        <is>
          <t>HSA Self-Only</t>
        </is>
      </c>
      <c r="I70" s="21" t="inlineStr">
        <is>
          <t>HSA Family</t>
        </is>
      </c>
      <c r="J70" s="21" t="inlineStr">
        <is>
          <t>HSA Catch-Up (55+)</t>
        </is>
      </c>
      <c r="K70" s="21" t="inlineStr">
        <is>
          <t>SEP-IRA Max</t>
        </is>
      </c>
    </row>
    <row r="71">
      <c r="A71" s="27" t="n">
        <v>2024</v>
      </c>
      <c r="B71" s="29" t="n">
        <v>23000</v>
      </c>
      <c r="C71" s="29" t="n">
        <v>7500</v>
      </c>
      <c r="D71" s="29" t="n">
        <v>16000</v>
      </c>
      <c r="E71" s="29" t="n">
        <v>3500</v>
      </c>
      <c r="F71" s="29" t="n">
        <v>7000</v>
      </c>
      <c r="G71" s="29" t="n">
        <v>1000</v>
      </c>
      <c r="H71" s="29" t="n">
        <v>4150</v>
      </c>
      <c r="I71" s="29" t="n">
        <v>8300</v>
      </c>
      <c r="J71" s="29" t="n">
        <v>1000</v>
      </c>
      <c r="K71" s="29" t="n">
        <v>69000</v>
      </c>
    </row>
    <row r="72">
      <c r="A72" s="27" t="n">
        <v>2025</v>
      </c>
      <c r="B72" s="29" t="n">
        <v>23500</v>
      </c>
      <c r="C72" s="29" t="n">
        <v>7500</v>
      </c>
      <c r="D72" s="29" t="n">
        <v>16500</v>
      </c>
      <c r="E72" s="29" t="n">
        <v>3500</v>
      </c>
      <c r="F72" s="29" t="n">
        <v>7000</v>
      </c>
      <c r="G72" s="29" t="n">
        <v>1000</v>
      </c>
      <c r="H72" s="29" t="n">
        <v>4300</v>
      </c>
      <c r="I72" s="29" t="n">
        <v>8550</v>
      </c>
      <c r="J72" s="29" t="n">
        <v>1000</v>
      </c>
      <c r="K72" s="29" t="n">
        <v>70000</v>
      </c>
    </row>
    <row r="74" ht="18" customHeight="1">
      <c r="A74" s="6" t="inlineStr">
        <is>
          <t>H. Child Tax Credit Parameters</t>
        </is>
      </c>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row>
    <row r="75">
      <c r="A75" s="21" t="inlineStr">
        <is>
          <t>Year</t>
        </is>
      </c>
      <c r="B75" s="21" t="inlineStr">
        <is>
          <t>CTC Amount / Child</t>
        </is>
      </c>
      <c r="C75" s="21" t="inlineStr">
        <is>
          <t>Refundable Max / Child</t>
        </is>
      </c>
      <c r="D75" s="21" t="inlineStr">
        <is>
          <t>Phaseout Start (Single/HOH)</t>
        </is>
      </c>
      <c r="E75" s="21" t="inlineStr">
        <is>
          <t>Phaseout Start (MFJ)</t>
        </is>
      </c>
      <c r="F75" s="21" t="inlineStr">
        <is>
          <t>Phaseout Rate</t>
        </is>
      </c>
    </row>
    <row r="76">
      <c r="A76" s="27" t="n">
        <v>2024</v>
      </c>
      <c r="B76" s="29" t="n">
        <v>2000</v>
      </c>
      <c r="C76" s="29" t="n">
        <v>1700</v>
      </c>
      <c r="D76" s="29" t="n">
        <v>200000</v>
      </c>
      <c r="E76" s="29" t="n">
        <v>400000</v>
      </c>
      <c r="F76" s="31" t="n">
        <v>0.05</v>
      </c>
    </row>
    <row r="77">
      <c r="A77" s="27" t="n">
        <v>2025</v>
      </c>
      <c r="B77" s="29" t="n">
        <v>2200</v>
      </c>
      <c r="C77" s="29" t="n">
        <v>1700</v>
      </c>
      <c r="D77" s="29" t="n">
        <v>200000</v>
      </c>
      <c r="E77" s="29" t="n">
        <v>400000</v>
      </c>
      <c r="F77" s="31" t="n">
        <v>0.05</v>
      </c>
    </row>
    <row r="79" ht="18" customHeight="1">
      <c r="A79" s="6" t="inlineStr">
        <is>
          <t>I. Child &amp; Dependent Care Credit Parameters</t>
        </is>
      </c>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row>
    <row r="80">
      <c r="A80" s="21" t="inlineStr">
        <is>
          <t>Max Expense (1 Dependent)</t>
        </is>
      </c>
      <c r="B80" s="21" t="inlineStr">
        <is>
          <t>Max Expense (2+ Dependents)</t>
        </is>
      </c>
      <c r="C80" s="21" t="inlineStr">
        <is>
          <t>Max Credit Rate</t>
        </is>
      </c>
      <c r="D80" s="21" t="inlineStr">
        <is>
          <t>Min Credit Rate</t>
        </is>
      </c>
      <c r="E80" s="21" t="inlineStr">
        <is>
          <t>AGI Floor</t>
        </is>
      </c>
      <c r="F80" s="21" t="inlineStr">
        <is>
          <t>AGI Ceiling (rate reaches min)</t>
        </is>
      </c>
    </row>
    <row r="81">
      <c r="A81" s="29" t="n">
        <v>3000</v>
      </c>
      <c r="B81" s="29" t="n">
        <v>6000</v>
      </c>
      <c r="C81" s="31" t="n">
        <v>0.35</v>
      </c>
      <c r="D81" s="31" t="n">
        <v>0.2</v>
      </c>
      <c r="E81" s="29" t="n">
        <v>15000</v>
      </c>
      <c r="F81" s="29" t="n">
        <v>43000</v>
      </c>
    </row>
    <row r="83" ht="18" customHeight="1">
      <c r="A83" s="6" t="inlineStr">
        <is>
          <t>J. Retirement Savings Contribution (Saver's) Credit</t>
        </is>
      </c>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row>
    <row r="84">
      <c r="A84" s="21" t="inlineStr">
        <is>
          <t>Year</t>
        </is>
      </c>
      <c r="B84" s="21" t="inlineStr">
        <is>
          <t>Filing Status</t>
        </is>
      </c>
      <c r="C84" s="21" t="inlineStr">
        <is>
          <t>Key</t>
        </is>
      </c>
      <c r="D84" s="21" t="inlineStr">
        <is>
          <t>Rate Tier 1</t>
        </is>
      </c>
      <c r="E84" s="21" t="inlineStr">
        <is>
          <t>AGI Max Tier 1</t>
        </is>
      </c>
      <c r="F84" s="21" t="inlineStr">
        <is>
          <t>Rate Tier 2</t>
        </is>
      </c>
      <c r="G84" s="21" t="inlineStr">
        <is>
          <t>AGI Max Tier 2</t>
        </is>
      </c>
      <c r="H84" s="21" t="inlineStr">
        <is>
          <t>Rate Tier 3</t>
        </is>
      </c>
      <c r="I84" s="21" t="inlineStr">
        <is>
          <t>AGI Max Tier 3</t>
        </is>
      </c>
      <c r="J84" s="21" t="inlineStr">
        <is>
          <t>Contribution Cap (per person)</t>
        </is>
      </c>
    </row>
    <row r="85">
      <c r="A85" s="27" t="n">
        <v>2024</v>
      </c>
      <c r="B85" s="28" t="inlineStr">
        <is>
          <t>Single</t>
        </is>
      </c>
      <c r="C85" s="23">
        <f>A85&amp;"|"&amp;B85</f>
        <v/>
      </c>
      <c r="D85" s="31" t="n">
        <v>0.5</v>
      </c>
      <c r="E85" s="29" t="n">
        <v>23000</v>
      </c>
      <c r="F85" s="31" t="n">
        <v>0.2</v>
      </c>
      <c r="G85" s="29" t="n">
        <v>25000</v>
      </c>
      <c r="H85" s="31" t="n">
        <v>0.1</v>
      </c>
      <c r="I85" s="29" t="n">
        <v>38250</v>
      </c>
      <c r="J85" s="29" t="n">
        <v>2000</v>
      </c>
    </row>
    <row r="86">
      <c r="A86" s="27" t="n">
        <v>2024</v>
      </c>
      <c r="B86" s="28" t="inlineStr">
        <is>
          <t>Married Filing Jointly</t>
        </is>
      </c>
      <c r="C86" s="23">
        <f>A86&amp;"|"&amp;B86</f>
        <v/>
      </c>
      <c r="D86" s="31" t="n">
        <v>0.5</v>
      </c>
      <c r="E86" s="29" t="n">
        <v>46000</v>
      </c>
      <c r="F86" s="31" t="n">
        <v>0.2</v>
      </c>
      <c r="G86" s="29" t="n">
        <v>50000</v>
      </c>
      <c r="H86" s="31" t="n">
        <v>0.1</v>
      </c>
      <c r="I86" s="29" t="n">
        <v>76500</v>
      </c>
      <c r="J86" s="29" t="n">
        <v>2000</v>
      </c>
    </row>
    <row r="87">
      <c r="A87" s="27" t="n">
        <v>2024</v>
      </c>
      <c r="B87" s="28" t="inlineStr">
        <is>
          <t>Married Filing Separately</t>
        </is>
      </c>
      <c r="C87" s="23">
        <f>A87&amp;"|"&amp;B87</f>
        <v/>
      </c>
      <c r="D87" s="31" t="n">
        <v>0.5</v>
      </c>
      <c r="E87" s="29" t="n">
        <v>23000</v>
      </c>
      <c r="F87" s="31" t="n">
        <v>0.2</v>
      </c>
      <c r="G87" s="29" t="n">
        <v>25000</v>
      </c>
      <c r="H87" s="31" t="n">
        <v>0.1</v>
      </c>
      <c r="I87" s="29" t="n">
        <v>38250</v>
      </c>
      <c r="J87" s="29" t="n">
        <v>2000</v>
      </c>
    </row>
    <row r="88">
      <c r="A88" s="27" t="n">
        <v>2024</v>
      </c>
      <c r="B88" s="28" t="inlineStr">
        <is>
          <t>Head of Household</t>
        </is>
      </c>
      <c r="C88" s="23">
        <f>A88&amp;"|"&amp;B88</f>
        <v/>
      </c>
      <c r="D88" s="31" t="n">
        <v>0.5</v>
      </c>
      <c r="E88" s="29" t="n">
        <v>34500</v>
      </c>
      <c r="F88" s="31" t="n">
        <v>0.2</v>
      </c>
      <c r="G88" s="29" t="n">
        <v>37500</v>
      </c>
      <c r="H88" s="31" t="n">
        <v>0.1</v>
      </c>
      <c r="I88" s="29" t="n">
        <v>57375</v>
      </c>
      <c r="J88" s="29" t="n">
        <v>2000</v>
      </c>
    </row>
    <row r="89">
      <c r="A89" s="27" t="n">
        <v>2024</v>
      </c>
      <c r="B89" s="28" t="inlineStr">
        <is>
          <t>Qualifying Surviving Spouse</t>
        </is>
      </c>
      <c r="C89" s="23">
        <f>A89&amp;"|"&amp;B89</f>
        <v/>
      </c>
      <c r="D89" s="31" t="n">
        <v>0.5</v>
      </c>
      <c r="E89" s="29" t="n">
        <v>46000</v>
      </c>
      <c r="F89" s="31" t="n">
        <v>0.2</v>
      </c>
      <c r="G89" s="29" t="n">
        <v>50000</v>
      </c>
      <c r="H89" s="31" t="n">
        <v>0.1</v>
      </c>
      <c r="I89" s="29" t="n">
        <v>76500</v>
      </c>
      <c r="J89" s="29" t="n">
        <v>2000</v>
      </c>
    </row>
    <row r="90">
      <c r="A90" s="27" t="n">
        <v>2025</v>
      </c>
      <c r="B90" s="28" t="inlineStr">
        <is>
          <t>Single</t>
        </is>
      </c>
      <c r="C90" s="23">
        <f>A90&amp;"|"&amp;B90</f>
        <v/>
      </c>
      <c r="D90" s="31" t="n">
        <v>0.5</v>
      </c>
      <c r="E90" s="29" t="n">
        <v>23750</v>
      </c>
      <c r="F90" s="31" t="n">
        <v>0.2</v>
      </c>
      <c r="G90" s="29" t="n">
        <v>25750</v>
      </c>
      <c r="H90" s="31" t="n">
        <v>0.1</v>
      </c>
      <c r="I90" s="29" t="n">
        <v>39500</v>
      </c>
      <c r="J90" s="29" t="n">
        <v>2000</v>
      </c>
    </row>
    <row r="91">
      <c r="A91" s="27" t="n">
        <v>2025</v>
      </c>
      <c r="B91" s="28" t="inlineStr">
        <is>
          <t>Married Filing Jointly</t>
        </is>
      </c>
      <c r="C91" s="23">
        <f>A91&amp;"|"&amp;B91</f>
        <v/>
      </c>
      <c r="D91" s="31" t="n">
        <v>0.5</v>
      </c>
      <c r="E91" s="29" t="n">
        <v>47500</v>
      </c>
      <c r="F91" s="31" t="n">
        <v>0.2</v>
      </c>
      <c r="G91" s="29" t="n">
        <v>51500</v>
      </c>
      <c r="H91" s="31" t="n">
        <v>0.1</v>
      </c>
      <c r="I91" s="29" t="n">
        <v>79000</v>
      </c>
      <c r="J91" s="29" t="n">
        <v>2000</v>
      </c>
    </row>
    <row r="92">
      <c r="A92" s="27" t="n">
        <v>2025</v>
      </c>
      <c r="B92" s="28" t="inlineStr">
        <is>
          <t>Married Filing Separately</t>
        </is>
      </c>
      <c r="C92" s="23">
        <f>A92&amp;"|"&amp;B92</f>
        <v/>
      </c>
      <c r="D92" s="31" t="n">
        <v>0.5</v>
      </c>
      <c r="E92" s="29" t="n">
        <v>23750</v>
      </c>
      <c r="F92" s="31" t="n">
        <v>0.2</v>
      </c>
      <c r="G92" s="29" t="n">
        <v>25750</v>
      </c>
      <c r="H92" s="31" t="n">
        <v>0.1</v>
      </c>
      <c r="I92" s="29" t="n">
        <v>39500</v>
      </c>
      <c r="J92" s="29" t="n">
        <v>2000</v>
      </c>
    </row>
    <row r="93">
      <c r="A93" s="27" t="n">
        <v>2025</v>
      </c>
      <c r="B93" s="28" t="inlineStr">
        <is>
          <t>Head of Household</t>
        </is>
      </c>
      <c r="C93" s="23">
        <f>A93&amp;"|"&amp;B93</f>
        <v/>
      </c>
      <c r="D93" s="31" t="n">
        <v>0.5</v>
      </c>
      <c r="E93" s="29" t="n">
        <v>35625</v>
      </c>
      <c r="F93" s="31" t="n">
        <v>0.2</v>
      </c>
      <c r="G93" s="29" t="n">
        <v>38625</v>
      </c>
      <c r="H93" s="31" t="n">
        <v>0.1</v>
      </c>
      <c r="I93" s="29" t="n">
        <v>59250</v>
      </c>
      <c r="J93" s="29" t="n">
        <v>2000</v>
      </c>
    </row>
    <row r="94">
      <c r="A94" s="27" t="n">
        <v>2025</v>
      </c>
      <c r="B94" s="28" t="inlineStr">
        <is>
          <t>Qualifying Surviving Spouse</t>
        </is>
      </c>
      <c r="C94" s="23">
        <f>A94&amp;"|"&amp;B94</f>
        <v/>
      </c>
      <c r="D94" s="31" t="n">
        <v>0.5</v>
      </c>
      <c r="E94" s="29" t="n">
        <v>47500</v>
      </c>
      <c r="F94" s="31" t="n">
        <v>0.2</v>
      </c>
      <c r="G94" s="29" t="n">
        <v>51500</v>
      </c>
      <c r="H94" s="31" t="n">
        <v>0.1</v>
      </c>
      <c r="I94" s="29" t="n">
        <v>79000</v>
      </c>
      <c r="J94" s="29" t="n">
        <v>2000</v>
      </c>
    </row>
  </sheetData>
  <mergeCells count="12">
    <mergeCell ref="A79:X79"/>
    <mergeCell ref="A1:J1"/>
    <mergeCell ref="A30:X30"/>
    <mergeCell ref="A69:X69"/>
    <mergeCell ref="A83:X83"/>
    <mergeCell ref="A4:X4"/>
    <mergeCell ref="A43:X43"/>
    <mergeCell ref="A64:X64"/>
    <mergeCell ref="A51:X51"/>
    <mergeCell ref="A2:J2"/>
    <mergeCell ref="A74:X74"/>
    <mergeCell ref="A17:X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4"/>
  <sheetViews>
    <sheetView showGridLines="0" zoomScale="100" workbookViewId="0">
      <pane xSplit="3" ySplit="3" topLeftCell="D4" activePane="bottomRight" state="frozen"/>
      <selection pane="topRight"/>
      <selection pane="bottomLeft"/>
      <selection pane="bottomRight" activeCell="A1" sqref="A1"/>
    </sheetView>
  </sheetViews>
  <sheetFormatPr baseColWidth="8" defaultRowHeight="15" outlineLevelCol="0"/>
  <cols>
    <col width="8" customWidth="1" min="1" max="1"/>
    <col width="22" customWidth="1" min="2" max="2"/>
    <col width="12" customWidth="1" min="3" max="3"/>
    <col width="10" customWidth="1" min="4" max="4"/>
    <col width="10" customWidth="1" min="5" max="5"/>
    <col width="12" customWidth="1" min="6" max="6"/>
    <col width="12" customWidth="1" min="7" max="7"/>
    <col width="46" customWidth="1" min="8" max="8"/>
    <col width="11" customWidth="1" min="21" max="21"/>
    <col width="11" customWidth="1" min="22" max="22"/>
    <col width="11" customWidth="1" min="23" max="23"/>
    <col width="11" customWidth="1" min="24" max="24"/>
  </cols>
  <sheetData>
    <row r="1" ht="28" customHeight="1">
      <c r="A1" s="19" t="inlineStr">
        <is>
          <t>STATE TAX PARAMETER DATABASE</t>
        </is>
      </c>
    </row>
    <row r="2">
      <c r="A2" s="20" t="inlineStr">
        <is>
          <t>Covers 31 states + DC representing no-tax, flat-tax, and progressive-tax structures, plus a Manual Entry option for any state not listed. Brackets/treatment are approximate (~2024-2025 law) for planning purposes - verify against current state guidance before client use.</t>
        </is>
      </c>
    </row>
    <row r="4" ht="18" customHeight="1">
      <c r="A4" s="6" t="inlineStr">
        <is>
          <t>A. State Master List &amp; Income Treatment</t>
        </is>
      </c>
      <c r="B4" s="7" t="n"/>
      <c r="C4" s="7" t="n"/>
      <c r="D4" s="7" t="n"/>
      <c r="E4" s="7" t="n"/>
      <c r="F4" s="7" t="n"/>
      <c r="G4" s="7" t="n"/>
      <c r="H4" s="7" t="n"/>
    </row>
    <row r="5">
      <c r="A5" s="21" t="inlineStr">
        <is>
          <t>State Code</t>
        </is>
      </c>
      <c r="B5" s="21" t="inlineStr">
        <is>
          <t>State Name</t>
        </is>
      </c>
      <c r="C5" s="21" t="inlineStr">
        <is>
          <t>Tax Type</t>
        </is>
      </c>
      <c r="D5" s="21" t="inlineStr">
        <is>
          <t>Social Security Taxable?</t>
        </is>
      </c>
      <c r="E5" s="21" t="inlineStr">
        <is>
          <t>Retirement Income (Pension/401k/IRA) Exempt?</t>
        </is>
      </c>
      <c r="F5" s="21" t="inlineStr">
        <is>
          <t>Std. Deduction (Single)</t>
        </is>
      </c>
      <c r="G5" s="21" t="inlineStr">
        <is>
          <t>Std. Deduction (MFJ)</t>
        </is>
      </c>
      <c r="H5" s="21" t="inlineStr">
        <is>
          <t>Notes / Simplifications</t>
        </is>
      </c>
    </row>
    <row r="6">
      <c r="A6" s="28" t="inlineStr">
        <is>
          <t>FL</t>
        </is>
      </c>
      <c r="B6" s="28" t="inlineStr">
        <is>
          <t>Florida</t>
        </is>
      </c>
      <c r="C6" s="28" t="inlineStr">
        <is>
          <t>None</t>
        </is>
      </c>
      <c r="D6" s="28" t="inlineStr">
        <is>
          <t>No</t>
        </is>
      </c>
      <c r="E6" s="28" t="inlineStr">
        <is>
          <t>Yes</t>
        </is>
      </c>
      <c r="F6" s="29" t="n">
        <v>0</v>
      </c>
      <c r="G6" s="29" t="n">
        <v>0</v>
      </c>
      <c r="H6" s="32" t="inlineStr">
        <is>
          <t>No state income tax.</t>
        </is>
      </c>
    </row>
    <row r="7">
      <c r="A7" s="28" t="inlineStr">
        <is>
          <t>TX</t>
        </is>
      </c>
      <c r="B7" s="28" t="inlineStr">
        <is>
          <t>Texas</t>
        </is>
      </c>
      <c r="C7" s="28" t="inlineStr">
        <is>
          <t>None</t>
        </is>
      </c>
      <c r="D7" s="28" t="inlineStr">
        <is>
          <t>No</t>
        </is>
      </c>
      <c r="E7" s="28" t="inlineStr">
        <is>
          <t>Yes</t>
        </is>
      </c>
      <c r="F7" s="29" t="n">
        <v>0</v>
      </c>
      <c r="G7" s="29" t="n">
        <v>0</v>
      </c>
      <c r="H7" s="32" t="inlineStr">
        <is>
          <t>No state income tax.</t>
        </is>
      </c>
    </row>
    <row r="8">
      <c r="A8" s="28" t="inlineStr">
        <is>
          <t>WA</t>
        </is>
      </c>
      <c r="B8" s="28" t="inlineStr">
        <is>
          <t>Washington</t>
        </is>
      </c>
      <c r="C8" s="28" t="inlineStr">
        <is>
          <t>None</t>
        </is>
      </c>
      <c r="D8" s="28" t="inlineStr">
        <is>
          <t>No</t>
        </is>
      </c>
      <c r="E8" s="28" t="inlineStr">
        <is>
          <t>Yes</t>
        </is>
      </c>
      <c r="F8" s="29" t="n">
        <v>0</v>
      </c>
      <c r="G8" s="29" t="n">
        <v>0</v>
      </c>
      <c r="H8" s="32" t="inlineStr">
        <is>
          <t>No state income tax (capital gains excise tax on high earners not modeled).</t>
        </is>
      </c>
    </row>
    <row r="9">
      <c r="A9" s="28" t="inlineStr">
        <is>
          <t>NV</t>
        </is>
      </c>
      <c r="B9" s="28" t="inlineStr">
        <is>
          <t>Nevada</t>
        </is>
      </c>
      <c r="C9" s="28" t="inlineStr">
        <is>
          <t>None</t>
        </is>
      </c>
      <c r="D9" s="28" t="inlineStr">
        <is>
          <t>No</t>
        </is>
      </c>
      <c r="E9" s="28" t="inlineStr">
        <is>
          <t>Yes</t>
        </is>
      </c>
      <c r="F9" s="29" t="n">
        <v>0</v>
      </c>
      <c r="G9" s="29" t="n">
        <v>0</v>
      </c>
      <c r="H9" s="32" t="inlineStr">
        <is>
          <t>No state income tax.</t>
        </is>
      </c>
    </row>
    <row r="10">
      <c r="A10" s="28" t="inlineStr">
        <is>
          <t>WY</t>
        </is>
      </c>
      <c r="B10" s="28" t="inlineStr">
        <is>
          <t>Wyoming</t>
        </is>
      </c>
      <c r="C10" s="28" t="inlineStr">
        <is>
          <t>None</t>
        </is>
      </c>
      <c r="D10" s="28" t="inlineStr">
        <is>
          <t>No</t>
        </is>
      </c>
      <c r="E10" s="28" t="inlineStr">
        <is>
          <t>Yes</t>
        </is>
      </c>
      <c r="F10" s="29" t="n">
        <v>0</v>
      </c>
      <c r="G10" s="29" t="n">
        <v>0</v>
      </c>
      <c r="H10" s="32" t="inlineStr">
        <is>
          <t>No state income tax.</t>
        </is>
      </c>
    </row>
    <row r="11">
      <c r="A11" s="28" t="inlineStr">
        <is>
          <t>SD</t>
        </is>
      </c>
      <c r="B11" s="28" t="inlineStr">
        <is>
          <t>South Dakota</t>
        </is>
      </c>
      <c r="C11" s="28" t="inlineStr">
        <is>
          <t>None</t>
        </is>
      </c>
      <c r="D11" s="28" t="inlineStr">
        <is>
          <t>No</t>
        </is>
      </c>
      <c r="E11" s="28" t="inlineStr">
        <is>
          <t>Yes</t>
        </is>
      </c>
      <c r="F11" s="29" t="n">
        <v>0</v>
      </c>
      <c r="G11" s="29" t="n">
        <v>0</v>
      </c>
      <c r="H11" s="32" t="inlineStr">
        <is>
          <t>No state income tax.</t>
        </is>
      </c>
    </row>
    <row r="12">
      <c r="A12" s="28" t="inlineStr">
        <is>
          <t>AK</t>
        </is>
      </c>
      <c r="B12" s="28" t="inlineStr">
        <is>
          <t>Alaska</t>
        </is>
      </c>
      <c r="C12" s="28" t="inlineStr">
        <is>
          <t>None</t>
        </is>
      </c>
      <c r="D12" s="28" t="inlineStr">
        <is>
          <t>No</t>
        </is>
      </c>
      <c r="E12" s="28" t="inlineStr">
        <is>
          <t>Yes</t>
        </is>
      </c>
      <c r="F12" s="29" t="n">
        <v>0</v>
      </c>
      <c r="G12" s="29" t="n">
        <v>0</v>
      </c>
      <c r="H12" s="32" t="inlineStr">
        <is>
          <t>No state income tax.</t>
        </is>
      </c>
    </row>
    <row r="13">
      <c r="A13" s="28" t="inlineStr">
        <is>
          <t>TN</t>
        </is>
      </c>
      <c r="B13" s="28" t="inlineStr">
        <is>
          <t>Tennessee</t>
        </is>
      </c>
      <c r="C13" s="28" t="inlineStr">
        <is>
          <t>None</t>
        </is>
      </c>
      <c r="D13" s="28" t="inlineStr">
        <is>
          <t>No</t>
        </is>
      </c>
      <c r="E13" s="28" t="inlineStr">
        <is>
          <t>Yes</t>
        </is>
      </c>
      <c r="F13" s="29" t="n">
        <v>0</v>
      </c>
      <c r="G13" s="29" t="n">
        <v>0</v>
      </c>
      <c r="H13" s="32" t="inlineStr">
        <is>
          <t>No state income tax.</t>
        </is>
      </c>
    </row>
    <row r="14">
      <c r="A14" s="28" t="inlineStr">
        <is>
          <t>CO</t>
        </is>
      </c>
      <c r="B14" s="28" t="inlineStr">
        <is>
          <t>Colorado</t>
        </is>
      </c>
      <c r="C14" s="28" t="inlineStr">
        <is>
          <t>Flat</t>
        </is>
      </c>
      <c r="D14" s="28" t="inlineStr">
        <is>
          <t>No</t>
        </is>
      </c>
      <c r="E14" s="28" t="inlineStr">
        <is>
          <t>No</t>
        </is>
      </c>
      <c r="F14" s="29" t="n">
        <v>0</v>
      </c>
      <c r="G14" s="29" t="n">
        <v>0</v>
      </c>
      <c r="H14" s="32" t="inlineStr">
        <is>
          <t>Flat rate; SS generally subtracted.</t>
        </is>
      </c>
    </row>
    <row r="15">
      <c r="A15" s="28" t="inlineStr">
        <is>
          <t>IL</t>
        </is>
      </c>
      <c r="B15" s="28" t="inlineStr">
        <is>
          <t>Illinois</t>
        </is>
      </c>
      <c r="C15" s="28" t="inlineStr">
        <is>
          <t>Flat</t>
        </is>
      </c>
      <c r="D15" s="28" t="inlineStr">
        <is>
          <t>No</t>
        </is>
      </c>
      <c r="E15" s="28" t="inlineStr">
        <is>
          <t>Yes</t>
        </is>
      </c>
      <c r="F15" s="29" t="n">
        <v>0</v>
      </c>
      <c r="G15" s="29" t="n">
        <v>0</v>
      </c>
      <c r="H15" s="32" t="inlineStr">
        <is>
          <t>Flat rate; retirement income generally exempt; SS exempt.</t>
        </is>
      </c>
    </row>
    <row r="16">
      <c r="A16" s="28" t="inlineStr">
        <is>
          <t>IN</t>
        </is>
      </c>
      <c r="B16" s="28" t="inlineStr">
        <is>
          <t>Indiana</t>
        </is>
      </c>
      <c r="C16" s="28" t="inlineStr">
        <is>
          <t>Flat</t>
        </is>
      </c>
      <c r="D16" s="28" t="inlineStr">
        <is>
          <t>No</t>
        </is>
      </c>
      <c r="E16" s="28" t="inlineStr">
        <is>
          <t>No</t>
        </is>
      </c>
      <c r="F16" s="29" t="n">
        <v>0</v>
      </c>
      <c r="G16" s="29" t="n">
        <v>0</v>
      </c>
      <c r="H16" s="32" t="inlineStr">
        <is>
          <t>Flat rate.</t>
        </is>
      </c>
    </row>
    <row r="17">
      <c r="A17" s="28" t="inlineStr">
        <is>
          <t>MI</t>
        </is>
      </c>
      <c r="B17" s="28" t="inlineStr">
        <is>
          <t>Michigan</t>
        </is>
      </c>
      <c r="C17" s="28" t="inlineStr">
        <is>
          <t>Flat</t>
        </is>
      </c>
      <c r="D17" s="28" t="inlineStr">
        <is>
          <t>No</t>
        </is>
      </c>
      <c r="E17" s="28" t="inlineStr">
        <is>
          <t>Yes</t>
        </is>
      </c>
      <c r="F17" s="29" t="n">
        <v>0</v>
      </c>
      <c r="G17" s="29" t="n">
        <v>0</v>
      </c>
      <c r="H17" s="32" t="inlineStr">
        <is>
          <t>Flat rate; retirement income partially/fully exempt depending on birth year (simplified: exempt).</t>
        </is>
      </c>
    </row>
    <row r="18">
      <c r="A18" s="28" t="inlineStr">
        <is>
          <t>NC</t>
        </is>
      </c>
      <c r="B18" s="28" t="inlineStr">
        <is>
          <t>North Carolina</t>
        </is>
      </c>
      <c r="C18" s="28" t="inlineStr">
        <is>
          <t>Flat</t>
        </is>
      </c>
      <c r="D18" s="28" t="inlineStr">
        <is>
          <t>No</t>
        </is>
      </c>
      <c r="E18" s="28" t="inlineStr">
        <is>
          <t>No</t>
        </is>
      </c>
      <c r="F18" s="29" t="n">
        <v>12750</v>
      </c>
      <c r="G18" s="29" t="n">
        <v>25500</v>
      </c>
      <c r="H18" s="32" t="inlineStr">
        <is>
          <t>Flat rate.</t>
        </is>
      </c>
    </row>
    <row r="19">
      <c r="A19" s="28" t="inlineStr">
        <is>
          <t>PA</t>
        </is>
      </c>
      <c r="B19" s="28" t="inlineStr">
        <is>
          <t>Pennsylvania</t>
        </is>
      </c>
      <c r="C19" s="28" t="inlineStr">
        <is>
          <t>Flat</t>
        </is>
      </c>
      <c r="D19" s="28" t="inlineStr">
        <is>
          <t>No</t>
        </is>
      </c>
      <c r="E19" s="28" t="inlineStr">
        <is>
          <t>Yes</t>
        </is>
      </c>
      <c r="F19" s="29" t="n">
        <v>0</v>
      </c>
      <c r="G19" s="29" t="n">
        <v>0</v>
      </c>
      <c r="H19" s="32" t="inlineStr">
        <is>
          <t>Flat rate; retirement income and SS generally exempt.</t>
        </is>
      </c>
    </row>
    <row r="20">
      <c r="A20" s="28" t="inlineStr">
        <is>
          <t>UT</t>
        </is>
      </c>
      <c r="B20" s="28" t="inlineStr">
        <is>
          <t>Utah</t>
        </is>
      </c>
      <c r="C20" s="28" t="inlineStr">
        <is>
          <t>Flat</t>
        </is>
      </c>
      <c r="D20" s="28" t="inlineStr">
        <is>
          <t>Yes</t>
        </is>
      </c>
      <c r="E20" s="28" t="inlineStr">
        <is>
          <t>No</t>
        </is>
      </c>
      <c r="F20" s="29" t="n">
        <v>0</v>
      </c>
      <c r="G20" s="29" t="n">
        <v>0</v>
      </c>
      <c r="H20" s="32" t="inlineStr">
        <is>
          <t>Flat rate; SS partially taxable (simplified: taxable), credit not modeled.</t>
        </is>
      </c>
    </row>
    <row r="21">
      <c r="A21" s="28" t="inlineStr">
        <is>
          <t>KY</t>
        </is>
      </c>
      <c r="B21" s="28" t="inlineStr">
        <is>
          <t>Kentucky</t>
        </is>
      </c>
      <c r="C21" s="28" t="inlineStr">
        <is>
          <t>Flat</t>
        </is>
      </c>
      <c r="D21" s="28" t="inlineStr">
        <is>
          <t>No</t>
        </is>
      </c>
      <c r="E21" s="28" t="inlineStr">
        <is>
          <t>No</t>
        </is>
      </c>
      <c r="F21" s="29" t="n">
        <v>3160</v>
      </c>
      <c r="G21" s="29" t="n">
        <v>3160</v>
      </c>
      <c r="H21" s="32" t="inlineStr">
        <is>
          <t>Flat rate; SS exempt; pension exclusion not modeled.</t>
        </is>
      </c>
    </row>
    <row r="22">
      <c r="A22" s="28" t="inlineStr">
        <is>
          <t>AZ</t>
        </is>
      </c>
      <c r="B22" s="28" t="inlineStr">
        <is>
          <t>Arizona</t>
        </is>
      </c>
      <c r="C22" s="28" t="inlineStr">
        <is>
          <t>Flat</t>
        </is>
      </c>
      <c r="D22" s="28" t="inlineStr">
        <is>
          <t>No</t>
        </is>
      </c>
      <c r="E22" s="28" t="inlineStr">
        <is>
          <t>No</t>
        </is>
      </c>
      <c r="F22" s="29" t="n">
        <v>14600</v>
      </c>
      <c r="G22" s="29" t="n">
        <v>29200</v>
      </c>
      <c r="H22" s="32" t="inlineStr">
        <is>
          <t>Flat rate; SS exempt.</t>
        </is>
      </c>
    </row>
    <row r="23">
      <c r="A23" s="28" t="inlineStr">
        <is>
          <t>GA</t>
        </is>
      </c>
      <c r="B23" s="28" t="inlineStr">
        <is>
          <t>Georgia</t>
        </is>
      </c>
      <c r="C23" s="28" t="inlineStr">
        <is>
          <t>Flat</t>
        </is>
      </c>
      <c r="D23" s="28" t="inlineStr">
        <is>
          <t>No</t>
        </is>
      </c>
      <c r="E23" s="28" t="inlineStr">
        <is>
          <t>No</t>
        </is>
      </c>
      <c r="F23" s="29" t="n">
        <v>12000</v>
      </c>
      <c r="G23" s="29" t="n">
        <v>24000</v>
      </c>
      <c r="H23" s="32" t="inlineStr">
        <is>
          <t>Flat rate (transitioning); retirement exclusion for 62+ not modeled.</t>
        </is>
      </c>
    </row>
    <row r="24">
      <c r="A24" s="28" t="inlineStr">
        <is>
          <t>MA</t>
        </is>
      </c>
      <c r="B24" s="28" t="inlineStr">
        <is>
          <t>Massachusetts</t>
        </is>
      </c>
      <c r="C24" s="28" t="inlineStr">
        <is>
          <t>Flat+Surtax</t>
        </is>
      </c>
      <c r="D24" s="28" t="inlineStr">
        <is>
          <t>No</t>
        </is>
      </c>
      <c r="E24" s="28" t="inlineStr">
        <is>
          <t>No</t>
        </is>
      </c>
      <c r="F24" s="29" t="n">
        <v>0</v>
      </c>
      <c r="G24" s="29" t="n">
        <v>0</v>
      </c>
      <c r="H24" s="32" t="inlineStr">
        <is>
          <t>Flat 5% + 4% surtax over $1,000,000 (millionaire's tax); SS exempt.</t>
        </is>
      </c>
    </row>
    <row r="25">
      <c r="A25" s="28" t="inlineStr">
        <is>
          <t>CA</t>
        </is>
      </c>
      <c r="B25" s="28" t="inlineStr">
        <is>
          <t>California</t>
        </is>
      </c>
      <c r="C25" s="28" t="inlineStr">
        <is>
          <t>Progressive</t>
        </is>
      </c>
      <c r="D25" s="28" t="inlineStr">
        <is>
          <t>No</t>
        </is>
      </c>
      <c r="E25" s="28" t="inlineStr">
        <is>
          <t>No</t>
        </is>
      </c>
      <c r="F25" s="29" t="n">
        <v>5540</v>
      </c>
      <c r="G25" s="29" t="n">
        <v>11080</v>
      </c>
      <c r="H25" s="32" t="inlineStr">
        <is>
          <t>Progressive; SS exempt; no preferential rate on capital gains.</t>
        </is>
      </c>
    </row>
    <row r="26">
      <c r="A26" s="28" t="inlineStr">
        <is>
          <t>NY</t>
        </is>
      </c>
      <c r="B26" s="28" t="inlineStr">
        <is>
          <t>New York</t>
        </is>
      </c>
      <c r="C26" s="28" t="inlineStr">
        <is>
          <t>Progressive</t>
        </is>
      </c>
      <c r="D26" s="28" t="inlineStr">
        <is>
          <t>No</t>
        </is>
      </c>
      <c r="E26" s="28" t="inlineStr">
        <is>
          <t>No</t>
        </is>
      </c>
      <c r="F26" s="29" t="n">
        <v>8000</v>
      </c>
      <c r="G26" s="29" t="n">
        <v>16050</v>
      </c>
      <c r="H26" s="32" t="inlineStr">
        <is>
          <t>Progressive; SS exempt; $20,000 pension exclusion not modeled.</t>
        </is>
      </c>
    </row>
    <row r="27">
      <c r="A27" s="28" t="inlineStr">
        <is>
          <t>NJ</t>
        </is>
      </c>
      <c r="B27" s="28" t="inlineStr">
        <is>
          <t>New Jersey</t>
        </is>
      </c>
      <c r="C27" s="28" t="inlineStr">
        <is>
          <t>Progressive</t>
        </is>
      </c>
      <c r="D27" s="28" t="inlineStr">
        <is>
          <t>No</t>
        </is>
      </c>
      <c r="E27" s="28" t="inlineStr">
        <is>
          <t>Yes</t>
        </is>
      </c>
      <c r="F27" s="29" t="n">
        <v>0</v>
      </c>
      <c r="G27" s="29" t="n">
        <v>0</v>
      </c>
      <c r="H27" s="32" t="inlineStr">
        <is>
          <t>Progressive; SS exempt; retirement income exclusion (simplified: exempt).</t>
        </is>
      </c>
    </row>
    <row r="28">
      <c r="A28" s="28" t="inlineStr">
        <is>
          <t>OR</t>
        </is>
      </c>
      <c r="B28" s="28" t="inlineStr">
        <is>
          <t>Oregon</t>
        </is>
      </c>
      <c r="C28" s="28" t="inlineStr">
        <is>
          <t>Progressive</t>
        </is>
      </c>
      <c r="D28" s="28" t="inlineStr">
        <is>
          <t>No</t>
        </is>
      </c>
      <c r="E28" s="28" t="inlineStr">
        <is>
          <t>No</t>
        </is>
      </c>
      <c r="F28" s="29" t="n">
        <v>2745</v>
      </c>
      <c r="G28" s="29" t="n">
        <v>5495</v>
      </c>
      <c r="H28" s="32" t="inlineStr">
        <is>
          <t>Progressive; SS exempt.</t>
        </is>
      </c>
    </row>
    <row r="29">
      <c r="A29" s="28" t="inlineStr">
        <is>
          <t>MN</t>
        </is>
      </c>
      <c r="B29" s="28" t="inlineStr">
        <is>
          <t>Minnesota</t>
        </is>
      </c>
      <c r="C29" s="28" t="inlineStr">
        <is>
          <t>Progressive</t>
        </is>
      </c>
      <c r="D29" s="28" t="inlineStr">
        <is>
          <t>Yes</t>
        </is>
      </c>
      <c r="E29" s="28" t="inlineStr">
        <is>
          <t>No</t>
        </is>
      </c>
      <c r="F29" s="29" t="n">
        <v>14575</v>
      </c>
      <c r="G29" s="29" t="n">
        <v>29150</v>
      </c>
      <c r="H29" s="32" t="inlineStr">
        <is>
          <t>Progressive; SS taxable with subtraction not modeled (simplified: taxable).</t>
        </is>
      </c>
    </row>
    <row r="30">
      <c r="A30" s="28" t="inlineStr">
        <is>
          <t>HI</t>
        </is>
      </c>
      <c r="B30" s="28" t="inlineStr">
        <is>
          <t>Hawaii</t>
        </is>
      </c>
      <c r="C30" s="28" t="inlineStr">
        <is>
          <t>Progressive</t>
        </is>
      </c>
      <c r="D30" s="28" t="inlineStr">
        <is>
          <t>No</t>
        </is>
      </c>
      <c r="E30" s="28" t="inlineStr">
        <is>
          <t>Yes</t>
        </is>
      </c>
      <c r="F30" s="29" t="n">
        <v>2200</v>
      </c>
      <c r="G30" s="29" t="n">
        <v>4400</v>
      </c>
      <c r="H30" s="32" t="inlineStr">
        <is>
          <t>Progressive; SS exempt; qualified pension income exempt.</t>
        </is>
      </c>
    </row>
    <row r="31">
      <c r="A31" s="28" t="inlineStr">
        <is>
          <t>VA</t>
        </is>
      </c>
      <c r="B31" s="28" t="inlineStr">
        <is>
          <t>Virginia</t>
        </is>
      </c>
      <c r="C31" s="28" t="inlineStr">
        <is>
          <t>Progressive</t>
        </is>
      </c>
      <c r="D31" s="28" t="inlineStr">
        <is>
          <t>No</t>
        </is>
      </c>
      <c r="E31" s="28" t="inlineStr">
        <is>
          <t>No</t>
        </is>
      </c>
      <c r="F31" s="29" t="n">
        <v>8500</v>
      </c>
      <c r="G31" s="29" t="n">
        <v>17000</v>
      </c>
      <c r="H31" s="32" t="inlineStr">
        <is>
          <t>Progressive; SS exempt.</t>
        </is>
      </c>
    </row>
    <row r="32">
      <c r="A32" s="28" t="inlineStr">
        <is>
          <t>SC</t>
        </is>
      </c>
      <c r="B32" s="28" t="inlineStr">
        <is>
          <t>South Carolina</t>
        </is>
      </c>
      <c r="C32" s="28" t="inlineStr">
        <is>
          <t>Progressive</t>
        </is>
      </c>
      <c r="D32" s="28" t="inlineStr">
        <is>
          <t>No</t>
        </is>
      </c>
      <c r="E32" s="28" t="inlineStr">
        <is>
          <t>No</t>
        </is>
      </c>
      <c r="F32" s="29" t="n">
        <v>14600</v>
      </c>
      <c r="G32" s="29" t="n">
        <v>29200</v>
      </c>
      <c r="H32" s="32" t="inlineStr">
        <is>
          <t>Progressive; SS exempt; retirement deduction not modeled.</t>
        </is>
      </c>
    </row>
    <row r="33">
      <c r="A33" s="28" t="inlineStr">
        <is>
          <t>MD</t>
        </is>
      </c>
      <c r="B33" s="28" t="inlineStr">
        <is>
          <t>Maryland</t>
        </is>
      </c>
      <c r="C33" s="28" t="inlineStr">
        <is>
          <t>Progressive</t>
        </is>
      </c>
      <c r="D33" s="28" t="inlineStr">
        <is>
          <t>No</t>
        </is>
      </c>
      <c r="E33" s="28" t="inlineStr">
        <is>
          <t>No</t>
        </is>
      </c>
      <c r="F33" s="29" t="n">
        <v>2400</v>
      </c>
      <c r="G33" s="29" t="n">
        <v>4850</v>
      </c>
      <c r="H33" s="32" t="inlineStr">
        <is>
          <t>Progressive; SS exempt; pension exclusion not modeled. County piggyback tax handled on Local tab.</t>
        </is>
      </c>
    </row>
    <row r="34">
      <c r="A34" s="28" t="inlineStr">
        <is>
          <t>WI</t>
        </is>
      </c>
      <c r="B34" s="28" t="inlineStr">
        <is>
          <t>Wisconsin</t>
        </is>
      </c>
      <c r="C34" s="28" t="inlineStr">
        <is>
          <t>Progressive</t>
        </is>
      </c>
      <c r="D34" s="28" t="inlineStr">
        <is>
          <t>No</t>
        </is>
      </c>
      <c r="E34" s="28" t="inlineStr">
        <is>
          <t>No</t>
        </is>
      </c>
      <c r="F34" s="29" t="n">
        <v>13230</v>
      </c>
      <c r="G34" s="29" t="n">
        <v>25640</v>
      </c>
      <c r="H34" s="32" t="inlineStr">
        <is>
          <t>Progressive; SS exempt.</t>
        </is>
      </c>
    </row>
    <row r="35">
      <c r="A35" s="28" t="inlineStr">
        <is>
          <t>OH</t>
        </is>
      </c>
      <c r="B35" s="28" t="inlineStr">
        <is>
          <t>Ohio</t>
        </is>
      </c>
      <c r="C35" s="28" t="inlineStr">
        <is>
          <t>Progressive</t>
        </is>
      </c>
      <c r="D35" s="28" t="inlineStr">
        <is>
          <t>No</t>
        </is>
      </c>
      <c r="E35" s="28" t="inlineStr">
        <is>
          <t>No</t>
        </is>
      </c>
      <c r="F35" s="29" t="n">
        <v>0</v>
      </c>
      <c r="G35" s="29" t="n">
        <v>0</v>
      </c>
      <c r="H35" s="32" t="inlineStr">
        <is>
          <t>Progressive; SS exempt; municipal EIT handled on Local tab.</t>
        </is>
      </c>
    </row>
    <row r="36">
      <c r="A36" s="28" t="inlineStr">
        <is>
          <t>DC</t>
        </is>
      </c>
      <c r="B36" s="28" t="inlineStr">
        <is>
          <t>District of Columbia</t>
        </is>
      </c>
      <c r="C36" s="28" t="inlineStr">
        <is>
          <t>Progressive</t>
        </is>
      </c>
      <c r="D36" s="28" t="inlineStr">
        <is>
          <t>No</t>
        </is>
      </c>
      <c r="E36" s="28" t="inlineStr">
        <is>
          <t>No</t>
        </is>
      </c>
      <c r="F36" s="29" t="n">
        <v>14600</v>
      </c>
      <c r="G36" s="29" t="n">
        <v>29200</v>
      </c>
      <c r="H36" s="32" t="inlineStr">
        <is>
          <t>Progressive; SS exempt.</t>
        </is>
      </c>
    </row>
    <row r="37">
      <c r="A37" s="28" t="inlineStr">
        <is>
          <t>OTHER</t>
        </is>
      </c>
      <c r="B37" s="28" t="inlineStr">
        <is>
          <t>Other (Manual Entry)</t>
        </is>
      </c>
      <c r="C37" s="28" t="inlineStr">
        <is>
          <t>Manual</t>
        </is>
      </c>
      <c r="D37" s="28" t="inlineStr">
        <is>
          <t>N/A</t>
        </is>
      </c>
      <c r="E37" s="28" t="inlineStr">
        <is>
          <t>N/A</t>
        </is>
      </c>
      <c r="F37" s="29" t="n">
        <v>0</v>
      </c>
      <c r="G37" s="29" t="n">
        <v>0</v>
      </c>
      <c r="H37" s="27" t="inlineStr">
        <is>
          <t>Uses the manual effective state tax rate entered on the Inputs tab.</t>
        </is>
      </c>
    </row>
    <row r="39" ht="18" customHeight="1">
      <c r="A39" s="6" t="inlineStr">
        <is>
          <t>B. State Income Tax Brackets (unified 8-bracket format; category Single covers Single/MFS/HOH, MFJ covers MFJ/QSS)</t>
        </is>
      </c>
      <c r="B39" s="7" t="n"/>
      <c r="C39" s="7" t="n"/>
      <c r="D39" s="7" t="n"/>
      <c r="E39" s="7" t="n"/>
      <c r="F39" s="7" t="n"/>
      <c r="G39" s="7" t="n"/>
      <c r="H39" s="7" t="n"/>
    </row>
    <row r="40">
      <c r="A40" s="21" t="inlineStr">
        <is>
          <t>State Code</t>
        </is>
      </c>
      <c r="B40" s="21" t="inlineStr">
        <is>
          <t>Filing Category</t>
        </is>
      </c>
      <c r="C40" s="21" t="inlineStr">
        <is>
          <t>Key</t>
        </is>
      </c>
      <c r="D40" s="21" t="inlineStr">
        <is>
          <t>Rate 1</t>
        </is>
      </c>
      <c r="E40" s="21" t="inlineStr">
        <is>
          <t>Min 1</t>
        </is>
      </c>
      <c r="F40" s="21" t="inlineStr">
        <is>
          <t>Max 1</t>
        </is>
      </c>
      <c r="G40" s="21" t="inlineStr">
        <is>
          <t>Rate 2</t>
        </is>
      </c>
      <c r="H40" s="21" t="inlineStr">
        <is>
          <t>Min 2</t>
        </is>
      </c>
      <c r="I40" s="21" t="inlineStr">
        <is>
          <t>Max 2</t>
        </is>
      </c>
      <c r="J40" s="21" t="inlineStr">
        <is>
          <t>Rate 3</t>
        </is>
      </c>
      <c r="K40" s="21" t="inlineStr">
        <is>
          <t>Min 3</t>
        </is>
      </c>
      <c r="L40" s="21" t="inlineStr">
        <is>
          <t>Max 3</t>
        </is>
      </c>
      <c r="M40" s="21" t="inlineStr">
        <is>
          <t>Rate 4</t>
        </is>
      </c>
      <c r="N40" s="21" t="inlineStr">
        <is>
          <t>Min 4</t>
        </is>
      </c>
      <c r="O40" s="21" t="inlineStr">
        <is>
          <t>Max 4</t>
        </is>
      </c>
      <c r="P40" s="21" t="inlineStr">
        <is>
          <t>Rate 5</t>
        </is>
      </c>
      <c r="Q40" s="21" t="inlineStr">
        <is>
          <t>Min 5</t>
        </is>
      </c>
      <c r="R40" s="21" t="inlineStr">
        <is>
          <t>Max 5</t>
        </is>
      </c>
      <c r="S40" s="21" t="inlineStr">
        <is>
          <t>Rate 6</t>
        </is>
      </c>
      <c r="T40" s="21" t="inlineStr">
        <is>
          <t>Min 6</t>
        </is>
      </c>
      <c r="U40" s="21" t="inlineStr">
        <is>
          <t>Max 6</t>
        </is>
      </c>
      <c r="V40" s="21" t="inlineStr">
        <is>
          <t>Rate 7</t>
        </is>
      </c>
      <c r="W40" s="21" t="inlineStr">
        <is>
          <t>Min 7</t>
        </is>
      </c>
      <c r="X40" s="21" t="inlineStr">
        <is>
          <t>Max 7</t>
        </is>
      </c>
      <c r="Y40" s="21" t="inlineStr">
        <is>
          <t>Rate 8</t>
        </is>
      </c>
      <c r="Z40" s="21" t="inlineStr">
        <is>
          <t>Min 8</t>
        </is>
      </c>
      <c r="AA40" s="21" t="inlineStr">
        <is>
          <t>Max 8</t>
        </is>
      </c>
    </row>
    <row r="41">
      <c r="A41" s="28" t="inlineStr">
        <is>
          <t>FL</t>
        </is>
      </c>
      <c r="B41" s="28" t="inlineStr">
        <is>
          <t>Single</t>
        </is>
      </c>
      <c r="C41" s="23">
        <f>A41&amp;"|"&amp;B41</f>
        <v/>
      </c>
      <c r="D41" s="30" t="n">
        <v>0</v>
      </c>
      <c r="E41" s="29" t="n">
        <v>0</v>
      </c>
      <c r="F41" s="26">
        <f>H41</f>
        <v/>
      </c>
      <c r="G41" s="30" t="n">
        <v>0</v>
      </c>
      <c r="H41" s="29" t="n">
        <v>999999999</v>
      </c>
      <c r="I41" s="26">
        <f>K41</f>
        <v/>
      </c>
      <c r="J41" s="30" t="n">
        <v>0</v>
      </c>
      <c r="K41" s="29" t="n">
        <v>999999999</v>
      </c>
      <c r="L41" s="26">
        <f>N41</f>
        <v/>
      </c>
      <c r="M41" s="30" t="n">
        <v>0</v>
      </c>
      <c r="N41" s="29" t="n">
        <v>999999999</v>
      </c>
      <c r="O41" s="26">
        <f>Q41</f>
        <v/>
      </c>
      <c r="P41" s="30" t="n">
        <v>0</v>
      </c>
      <c r="Q41" s="29" t="n">
        <v>999999999</v>
      </c>
      <c r="R41" s="26">
        <f>T41</f>
        <v/>
      </c>
      <c r="S41" s="30" t="n">
        <v>0</v>
      </c>
      <c r="T41" s="29" t="n">
        <v>999999999</v>
      </c>
      <c r="U41" s="26">
        <f>W41</f>
        <v/>
      </c>
      <c r="V41" s="30" t="n">
        <v>0</v>
      </c>
      <c r="W41" s="29" t="n">
        <v>999999999</v>
      </c>
      <c r="X41" s="26">
        <f>Z41</f>
        <v/>
      </c>
      <c r="Y41" s="30" t="n">
        <v>0</v>
      </c>
      <c r="Z41" s="29" t="n">
        <v>999999999</v>
      </c>
      <c r="AA41" s="26" t="n">
        <v>999999999</v>
      </c>
    </row>
    <row r="42">
      <c r="A42" s="28" t="inlineStr">
        <is>
          <t>FL</t>
        </is>
      </c>
      <c r="B42" s="28" t="inlineStr">
        <is>
          <t>MFJ</t>
        </is>
      </c>
      <c r="C42" s="23">
        <f>A42&amp;"|"&amp;B42</f>
        <v/>
      </c>
      <c r="D42" s="30" t="n">
        <v>0</v>
      </c>
      <c r="E42" s="29" t="n">
        <v>0</v>
      </c>
      <c r="F42" s="26">
        <f>H42</f>
        <v/>
      </c>
      <c r="G42" s="30" t="n">
        <v>0</v>
      </c>
      <c r="H42" s="29" t="n">
        <v>999999999</v>
      </c>
      <c r="I42" s="26">
        <f>K42</f>
        <v/>
      </c>
      <c r="J42" s="30" t="n">
        <v>0</v>
      </c>
      <c r="K42" s="29" t="n">
        <v>999999999</v>
      </c>
      <c r="L42" s="26">
        <f>N42</f>
        <v/>
      </c>
      <c r="M42" s="30" t="n">
        <v>0</v>
      </c>
      <c r="N42" s="29" t="n">
        <v>999999999</v>
      </c>
      <c r="O42" s="26">
        <f>Q42</f>
        <v/>
      </c>
      <c r="P42" s="30" t="n">
        <v>0</v>
      </c>
      <c r="Q42" s="29" t="n">
        <v>999999999</v>
      </c>
      <c r="R42" s="26">
        <f>T42</f>
        <v/>
      </c>
      <c r="S42" s="30" t="n">
        <v>0</v>
      </c>
      <c r="T42" s="29" t="n">
        <v>999999999</v>
      </c>
      <c r="U42" s="26">
        <f>W42</f>
        <v/>
      </c>
      <c r="V42" s="30" t="n">
        <v>0</v>
      </c>
      <c r="W42" s="29" t="n">
        <v>999999999</v>
      </c>
      <c r="X42" s="26">
        <f>Z42</f>
        <v/>
      </c>
      <c r="Y42" s="30" t="n">
        <v>0</v>
      </c>
      <c r="Z42" s="29" t="n">
        <v>999999999</v>
      </c>
      <c r="AA42" s="26" t="n">
        <v>999999999</v>
      </c>
    </row>
    <row r="43">
      <c r="A43" s="28" t="inlineStr">
        <is>
          <t>TX</t>
        </is>
      </c>
      <c r="B43" s="28" t="inlineStr">
        <is>
          <t>Single</t>
        </is>
      </c>
      <c r="C43" s="23">
        <f>A43&amp;"|"&amp;B43</f>
        <v/>
      </c>
      <c r="D43" s="30" t="n">
        <v>0</v>
      </c>
      <c r="E43" s="29" t="n">
        <v>0</v>
      </c>
      <c r="F43" s="26">
        <f>H43</f>
        <v/>
      </c>
      <c r="G43" s="30" t="n">
        <v>0</v>
      </c>
      <c r="H43" s="29" t="n">
        <v>999999999</v>
      </c>
      <c r="I43" s="26">
        <f>K43</f>
        <v/>
      </c>
      <c r="J43" s="30" t="n">
        <v>0</v>
      </c>
      <c r="K43" s="29" t="n">
        <v>999999999</v>
      </c>
      <c r="L43" s="26">
        <f>N43</f>
        <v/>
      </c>
      <c r="M43" s="30" t="n">
        <v>0</v>
      </c>
      <c r="N43" s="29" t="n">
        <v>999999999</v>
      </c>
      <c r="O43" s="26">
        <f>Q43</f>
        <v/>
      </c>
      <c r="P43" s="30" t="n">
        <v>0</v>
      </c>
      <c r="Q43" s="29" t="n">
        <v>999999999</v>
      </c>
      <c r="R43" s="26">
        <f>T43</f>
        <v/>
      </c>
      <c r="S43" s="30" t="n">
        <v>0</v>
      </c>
      <c r="T43" s="29" t="n">
        <v>999999999</v>
      </c>
      <c r="U43" s="26">
        <f>W43</f>
        <v/>
      </c>
      <c r="V43" s="30" t="n">
        <v>0</v>
      </c>
      <c r="W43" s="29" t="n">
        <v>999999999</v>
      </c>
      <c r="X43" s="26">
        <f>Z43</f>
        <v/>
      </c>
      <c r="Y43" s="30" t="n">
        <v>0</v>
      </c>
      <c r="Z43" s="29" t="n">
        <v>999999999</v>
      </c>
      <c r="AA43" s="26" t="n">
        <v>999999999</v>
      </c>
    </row>
    <row r="44">
      <c r="A44" s="28" t="inlineStr">
        <is>
          <t>TX</t>
        </is>
      </c>
      <c r="B44" s="28" t="inlineStr">
        <is>
          <t>MFJ</t>
        </is>
      </c>
      <c r="C44" s="23">
        <f>A44&amp;"|"&amp;B44</f>
        <v/>
      </c>
      <c r="D44" s="30" t="n">
        <v>0</v>
      </c>
      <c r="E44" s="29" t="n">
        <v>0</v>
      </c>
      <c r="F44" s="26">
        <f>H44</f>
        <v/>
      </c>
      <c r="G44" s="30" t="n">
        <v>0</v>
      </c>
      <c r="H44" s="29" t="n">
        <v>999999999</v>
      </c>
      <c r="I44" s="26">
        <f>K44</f>
        <v/>
      </c>
      <c r="J44" s="30" t="n">
        <v>0</v>
      </c>
      <c r="K44" s="29" t="n">
        <v>999999999</v>
      </c>
      <c r="L44" s="26">
        <f>N44</f>
        <v/>
      </c>
      <c r="M44" s="30" t="n">
        <v>0</v>
      </c>
      <c r="N44" s="29" t="n">
        <v>999999999</v>
      </c>
      <c r="O44" s="26">
        <f>Q44</f>
        <v/>
      </c>
      <c r="P44" s="30" t="n">
        <v>0</v>
      </c>
      <c r="Q44" s="29" t="n">
        <v>999999999</v>
      </c>
      <c r="R44" s="26">
        <f>T44</f>
        <v/>
      </c>
      <c r="S44" s="30" t="n">
        <v>0</v>
      </c>
      <c r="T44" s="29" t="n">
        <v>999999999</v>
      </c>
      <c r="U44" s="26">
        <f>W44</f>
        <v/>
      </c>
      <c r="V44" s="30" t="n">
        <v>0</v>
      </c>
      <c r="W44" s="29" t="n">
        <v>999999999</v>
      </c>
      <c r="X44" s="26">
        <f>Z44</f>
        <v/>
      </c>
      <c r="Y44" s="30" t="n">
        <v>0</v>
      </c>
      <c r="Z44" s="29" t="n">
        <v>999999999</v>
      </c>
      <c r="AA44" s="26" t="n">
        <v>999999999</v>
      </c>
    </row>
    <row r="45">
      <c r="A45" s="28" t="inlineStr">
        <is>
          <t>WA</t>
        </is>
      </c>
      <c r="B45" s="28" t="inlineStr">
        <is>
          <t>Single</t>
        </is>
      </c>
      <c r="C45" s="23">
        <f>A45&amp;"|"&amp;B45</f>
        <v/>
      </c>
      <c r="D45" s="30" t="n">
        <v>0</v>
      </c>
      <c r="E45" s="29" t="n">
        <v>0</v>
      </c>
      <c r="F45" s="26">
        <f>H45</f>
        <v/>
      </c>
      <c r="G45" s="30" t="n">
        <v>0</v>
      </c>
      <c r="H45" s="29" t="n">
        <v>999999999</v>
      </c>
      <c r="I45" s="26">
        <f>K45</f>
        <v/>
      </c>
      <c r="J45" s="30" t="n">
        <v>0</v>
      </c>
      <c r="K45" s="29" t="n">
        <v>999999999</v>
      </c>
      <c r="L45" s="26">
        <f>N45</f>
        <v/>
      </c>
      <c r="M45" s="30" t="n">
        <v>0</v>
      </c>
      <c r="N45" s="29" t="n">
        <v>999999999</v>
      </c>
      <c r="O45" s="26">
        <f>Q45</f>
        <v/>
      </c>
      <c r="P45" s="30" t="n">
        <v>0</v>
      </c>
      <c r="Q45" s="29" t="n">
        <v>999999999</v>
      </c>
      <c r="R45" s="26">
        <f>T45</f>
        <v/>
      </c>
      <c r="S45" s="30" t="n">
        <v>0</v>
      </c>
      <c r="T45" s="29" t="n">
        <v>999999999</v>
      </c>
      <c r="U45" s="26">
        <f>W45</f>
        <v/>
      </c>
      <c r="V45" s="30" t="n">
        <v>0</v>
      </c>
      <c r="W45" s="29" t="n">
        <v>999999999</v>
      </c>
      <c r="X45" s="26">
        <f>Z45</f>
        <v/>
      </c>
      <c r="Y45" s="30" t="n">
        <v>0</v>
      </c>
      <c r="Z45" s="29" t="n">
        <v>999999999</v>
      </c>
      <c r="AA45" s="26" t="n">
        <v>999999999</v>
      </c>
    </row>
    <row r="46">
      <c r="A46" s="28" t="inlineStr">
        <is>
          <t>WA</t>
        </is>
      </c>
      <c r="B46" s="28" t="inlineStr">
        <is>
          <t>MFJ</t>
        </is>
      </c>
      <c r="C46" s="23">
        <f>A46&amp;"|"&amp;B46</f>
        <v/>
      </c>
      <c r="D46" s="30" t="n">
        <v>0</v>
      </c>
      <c r="E46" s="29" t="n">
        <v>0</v>
      </c>
      <c r="F46" s="26">
        <f>H46</f>
        <v/>
      </c>
      <c r="G46" s="30" t="n">
        <v>0</v>
      </c>
      <c r="H46" s="29" t="n">
        <v>999999999</v>
      </c>
      <c r="I46" s="26">
        <f>K46</f>
        <v/>
      </c>
      <c r="J46" s="30" t="n">
        <v>0</v>
      </c>
      <c r="K46" s="29" t="n">
        <v>999999999</v>
      </c>
      <c r="L46" s="26">
        <f>N46</f>
        <v/>
      </c>
      <c r="M46" s="30" t="n">
        <v>0</v>
      </c>
      <c r="N46" s="29" t="n">
        <v>999999999</v>
      </c>
      <c r="O46" s="26">
        <f>Q46</f>
        <v/>
      </c>
      <c r="P46" s="30" t="n">
        <v>0</v>
      </c>
      <c r="Q46" s="29" t="n">
        <v>999999999</v>
      </c>
      <c r="R46" s="26">
        <f>T46</f>
        <v/>
      </c>
      <c r="S46" s="30" t="n">
        <v>0</v>
      </c>
      <c r="T46" s="29" t="n">
        <v>999999999</v>
      </c>
      <c r="U46" s="26">
        <f>W46</f>
        <v/>
      </c>
      <c r="V46" s="30" t="n">
        <v>0</v>
      </c>
      <c r="W46" s="29" t="n">
        <v>999999999</v>
      </c>
      <c r="X46" s="26">
        <f>Z46</f>
        <v/>
      </c>
      <c r="Y46" s="30" t="n">
        <v>0</v>
      </c>
      <c r="Z46" s="29" t="n">
        <v>999999999</v>
      </c>
      <c r="AA46" s="26" t="n">
        <v>999999999</v>
      </c>
    </row>
    <row r="47">
      <c r="A47" s="28" t="inlineStr">
        <is>
          <t>NV</t>
        </is>
      </c>
      <c r="B47" s="28" t="inlineStr">
        <is>
          <t>Single</t>
        </is>
      </c>
      <c r="C47" s="23">
        <f>A47&amp;"|"&amp;B47</f>
        <v/>
      </c>
      <c r="D47" s="30" t="n">
        <v>0</v>
      </c>
      <c r="E47" s="29" t="n">
        <v>0</v>
      </c>
      <c r="F47" s="26">
        <f>H47</f>
        <v/>
      </c>
      <c r="G47" s="30" t="n">
        <v>0</v>
      </c>
      <c r="H47" s="29" t="n">
        <v>999999999</v>
      </c>
      <c r="I47" s="26">
        <f>K47</f>
        <v/>
      </c>
      <c r="J47" s="30" t="n">
        <v>0</v>
      </c>
      <c r="K47" s="29" t="n">
        <v>999999999</v>
      </c>
      <c r="L47" s="26">
        <f>N47</f>
        <v/>
      </c>
      <c r="M47" s="30" t="n">
        <v>0</v>
      </c>
      <c r="N47" s="29" t="n">
        <v>999999999</v>
      </c>
      <c r="O47" s="26">
        <f>Q47</f>
        <v/>
      </c>
      <c r="P47" s="30" t="n">
        <v>0</v>
      </c>
      <c r="Q47" s="29" t="n">
        <v>999999999</v>
      </c>
      <c r="R47" s="26">
        <f>T47</f>
        <v/>
      </c>
      <c r="S47" s="30" t="n">
        <v>0</v>
      </c>
      <c r="T47" s="29" t="n">
        <v>999999999</v>
      </c>
      <c r="U47" s="26">
        <f>W47</f>
        <v/>
      </c>
      <c r="V47" s="30" t="n">
        <v>0</v>
      </c>
      <c r="W47" s="29" t="n">
        <v>999999999</v>
      </c>
      <c r="X47" s="26">
        <f>Z47</f>
        <v/>
      </c>
      <c r="Y47" s="30" t="n">
        <v>0</v>
      </c>
      <c r="Z47" s="29" t="n">
        <v>999999999</v>
      </c>
      <c r="AA47" s="26" t="n">
        <v>999999999</v>
      </c>
    </row>
    <row r="48">
      <c r="A48" s="28" t="inlineStr">
        <is>
          <t>NV</t>
        </is>
      </c>
      <c r="B48" s="28" t="inlineStr">
        <is>
          <t>MFJ</t>
        </is>
      </c>
      <c r="C48" s="23">
        <f>A48&amp;"|"&amp;B48</f>
        <v/>
      </c>
      <c r="D48" s="30" t="n">
        <v>0</v>
      </c>
      <c r="E48" s="29" t="n">
        <v>0</v>
      </c>
      <c r="F48" s="26">
        <f>H48</f>
        <v/>
      </c>
      <c r="G48" s="30" t="n">
        <v>0</v>
      </c>
      <c r="H48" s="29" t="n">
        <v>999999999</v>
      </c>
      <c r="I48" s="26">
        <f>K48</f>
        <v/>
      </c>
      <c r="J48" s="30" t="n">
        <v>0</v>
      </c>
      <c r="K48" s="29" t="n">
        <v>999999999</v>
      </c>
      <c r="L48" s="26">
        <f>N48</f>
        <v/>
      </c>
      <c r="M48" s="30" t="n">
        <v>0</v>
      </c>
      <c r="N48" s="29" t="n">
        <v>999999999</v>
      </c>
      <c r="O48" s="26">
        <f>Q48</f>
        <v/>
      </c>
      <c r="P48" s="30" t="n">
        <v>0</v>
      </c>
      <c r="Q48" s="29" t="n">
        <v>999999999</v>
      </c>
      <c r="R48" s="26">
        <f>T48</f>
        <v/>
      </c>
      <c r="S48" s="30" t="n">
        <v>0</v>
      </c>
      <c r="T48" s="29" t="n">
        <v>999999999</v>
      </c>
      <c r="U48" s="26">
        <f>W48</f>
        <v/>
      </c>
      <c r="V48" s="30" t="n">
        <v>0</v>
      </c>
      <c r="W48" s="29" t="n">
        <v>999999999</v>
      </c>
      <c r="X48" s="26">
        <f>Z48</f>
        <v/>
      </c>
      <c r="Y48" s="30" t="n">
        <v>0</v>
      </c>
      <c r="Z48" s="29" t="n">
        <v>999999999</v>
      </c>
      <c r="AA48" s="26" t="n">
        <v>999999999</v>
      </c>
    </row>
    <row r="49">
      <c r="A49" s="28" t="inlineStr">
        <is>
          <t>WY</t>
        </is>
      </c>
      <c r="B49" s="28" t="inlineStr">
        <is>
          <t>Single</t>
        </is>
      </c>
      <c r="C49" s="23">
        <f>A49&amp;"|"&amp;B49</f>
        <v/>
      </c>
      <c r="D49" s="30" t="n">
        <v>0</v>
      </c>
      <c r="E49" s="29" t="n">
        <v>0</v>
      </c>
      <c r="F49" s="26">
        <f>H49</f>
        <v/>
      </c>
      <c r="G49" s="30" t="n">
        <v>0</v>
      </c>
      <c r="H49" s="29" t="n">
        <v>999999999</v>
      </c>
      <c r="I49" s="26">
        <f>K49</f>
        <v/>
      </c>
      <c r="J49" s="30" t="n">
        <v>0</v>
      </c>
      <c r="K49" s="29" t="n">
        <v>999999999</v>
      </c>
      <c r="L49" s="26">
        <f>N49</f>
        <v/>
      </c>
      <c r="M49" s="30" t="n">
        <v>0</v>
      </c>
      <c r="N49" s="29" t="n">
        <v>999999999</v>
      </c>
      <c r="O49" s="26">
        <f>Q49</f>
        <v/>
      </c>
      <c r="P49" s="30" t="n">
        <v>0</v>
      </c>
      <c r="Q49" s="29" t="n">
        <v>999999999</v>
      </c>
      <c r="R49" s="26">
        <f>T49</f>
        <v/>
      </c>
      <c r="S49" s="30" t="n">
        <v>0</v>
      </c>
      <c r="T49" s="29" t="n">
        <v>999999999</v>
      </c>
      <c r="U49" s="26">
        <f>W49</f>
        <v/>
      </c>
      <c r="V49" s="30" t="n">
        <v>0</v>
      </c>
      <c r="W49" s="29" t="n">
        <v>999999999</v>
      </c>
      <c r="X49" s="26">
        <f>Z49</f>
        <v/>
      </c>
      <c r="Y49" s="30" t="n">
        <v>0</v>
      </c>
      <c r="Z49" s="29" t="n">
        <v>999999999</v>
      </c>
      <c r="AA49" s="26" t="n">
        <v>999999999</v>
      </c>
    </row>
    <row r="50">
      <c r="A50" s="28" t="inlineStr">
        <is>
          <t>WY</t>
        </is>
      </c>
      <c r="B50" s="28" t="inlineStr">
        <is>
          <t>MFJ</t>
        </is>
      </c>
      <c r="C50" s="23">
        <f>A50&amp;"|"&amp;B50</f>
        <v/>
      </c>
      <c r="D50" s="30" t="n">
        <v>0</v>
      </c>
      <c r="E50" s="29" t="n">
        <v>0</v>
      </c>
      <c r="F50" s="26">
        <f>H50</f>
        <v/>
      </c>
      <c r="G50" s="30" t="n">
        <v>0</v>
      </c>
      <c r="H50" s="29" t="n">
        <v>999999999</v>
      </c>
      <c r="I50" s="26">
        <f>K50</f>
        <v/>
      </c>
      <c r="J50" s="30" t="n">
        <v>0</v>
      </c>
      <c r="K50" s="29" t="n">
        <v>999999999</v>
      </c>
      <c r="L50" s="26">
        <f>N50</f>
        <v/>
      </c>
      <c r="M50" s="30" t="n">
        <v>0</v>
      </c>
      <c r="N50" s="29" t="n">
        <v>999999999</v>
      </c>
      <c r="O50" s="26">
        <f>Q50</f>
        <v/>
      </c>
      <c r="P50" s="30" t="n">
        <v>0</v>
      </c>
      <c r="Q50" s="29" t="n">
        <v>999999999</v>
      </c>
      <c r="R50" s="26">
        <f>T50</f>
        <v/>
      </c>
      <c r="S50" s="30" t="n">
        <v>0</v>
      </c>
      <c r="T50" s="29" t="n">
        <v>999999999</v>
      </c>
      <c r="U50" s="26">
        <f>W50</f>
        <v/>
      </c>
      <c r="V50" s="30" t="n">
        <v>0</v>
      </c>
      <c r="W50" s="29" t="n">
        <v>999999999</v>
      </c>
      <c r="X50" s="26">
        <f>Z50</f>
        <v/>
      </c>
      <c r="Y50" s="30" t="n">
        <v>0</v>
      </c>
      <c r="Z50" s="29" t="n">
        <v>999999999</v>
      </c>
      <c r="AA50" s="26" t="n">
        <v>999999999</v>
      </c>
    </row>
    <row r="51">
      <c r="A51" s="28" t="inlineStr">
        <is>
          <t>SD</t>
        </is>
      </c>
      <c r="B51" s="28" t="inlineStr">
        <is>
          <t>Single</t>
        </is>
      </c>
      <c r="C51" s="23">
        <f>A51&amp;"|"&amp;B51</f>
        <v/>
      </c>
      <c r="D51" s="30" t="n">
        <v>0</v>
      </c>
      <c r="E51" s="29" t="n">
        <v>0</v>
      </c>
      <c r="F51" s="26">
        <f>H51</f>
        <v/>
      </c>
      <c r="G51" s="30" t="n">
        <v>0</v>
      </c>
      <c r="H51" s="29" t="n">
        <v>999999999</v>
      </c>
      <c r="I51" s="26">
        <f>K51</f>
        <v/>
      </c>
      <c r="J51" s="30" t="n">
        <v>0</v>
      </c>
      <c r="K51" s="29" t="n">
        <v>999999999</v>
      </c>
      <c r="L51" s="26">
        <f>N51</f>
        <v/>
      </c>
      <c r="M51" s="30" t="n">
        <v>0</v>
      </c>
      <c r="N51" s="29" t="n">
        <v>999999999</v>
      </c>
      <c r="O51" s="26">
        <f>Q51</f>
        <v/>
      </c>
      <c r="P51" s="30" t="n">
        <v>0</v>
      </c>
      <c r="Q51" s="29" t="n">
        <v>999999999</v>
      </c>
      <c r="R51" s="26">
        <f>T51</f>
        <v/>
      </c>
      <c r="S51" s="30" t="n">
        <v>0</v>
      </c>
      <c r="T51" s="29" t="n">
        <v>999999999</v>
      </c>
      <c r="U51" s="26">
        <f>W51</f>
        <v/>
      </c>
      <c r="V51" s="30" t="n">
        <v>0</v>
      </c>
      <c r="W51" s="29" t="n">
        <v>999999999</v>
      </c>
      <c r="X51" s="26">
        <f>Z51</f>
        <v/>
      </c>
      <c r="Y51" s="30" t="n">
        <v>0</v>
      </c>
      <c r="Z51" s="29" t="n">
        <v>999999999</v>
      </c>
      <c r="AA51" s="26" t="n">
        <v>999999999</v>
      </c>
    </row>
    <row r="52">
      <c r="A52" s="28" t="inlineStr">
        <is>
          <t>SD</t>
        </is>
      </c>
      <c r="B52" s="28" t="inlineStr">
        <is>
          <t>MFJ</t>
        </is>
      </c>
      <c r="C52" s="23">
        <f>A52&amp;"|"&amp;B52</f>
        <v/>
      </c>
      <c r="D52" s="30" t="n">
        <v>0</v>
      </c>
      <c r="E52" s="29" t="n">
        <v>0</v>
      </c>
      <c r="F52" s="26">
        <f>H52</f>
        <v/>
      </c>
      <c r="G52" s="30" t="n">
        <v>0</v>
      </c>
      <c r="H52" s="29" t="n">
        <v>999999999</v>
      </c>
      <c r="I52" s="26">
        <f>K52</f>
        <v/>
      </c>
      <c r="J52" s="30" t="n">
        <v>0</v>
      </c>
      <c r="K52" s="29" t="n">
        <v>999999999</v>
      </c>
      <c r="L52" s="26">
        <f>N52</f>
        <v/>
      </c>
      <c r="M52" s="30" t="n">
        <v>0</v>
      </c>
      <c r="N52" s="29" t="n">
        <v>999999999</v>
      </c>
      <c r="O52" s="26">
        <f>Q52</f>
        <v/>
      </c>
      <c r="P52" s="30" t="n">
        <v>0</v>
      </c>
      <c r="Q52" s="29" t="n">
        <v>999999999</v>
      </c>
      <c r="R52" s="26">
        <f>T52</f>
        <v/>
      </c>
      <c r="S52" s="30" t="n">
        <v>0</v>
      </c>
      <c r="T52" s="29" t="n">
        <v>999999999</v>
      </c>
      <c r="U52" s="26">
        <f>W52</f>
        <v/>
      </c>
      <c r="V52" s="30" t="n">
        <v>0</v>
      </c>
      <c r="W52" s="29" t="n">
        <v>999999999</v>
      </c>
      <c r="X52" s="26">
        <f>Z52</f>
        <v/>
      </c>
      <c r="Y52" s="30" t="n">
        <v>0</v>
      </c>
      <c r="Z52" s="29" t="n">
        <v>999999999</v>
      </c>
      <c r="AA52" s="26" t="n">
        <v>999999999</v>
      </c>
    </row>
    <row r="53">
      <c r="A53" s="28" t="inlineStr">
        <is>
          <t>AK</t>
        </is>
      </c>
      <c r="B53" s="28" t="inlineStr">
        <is>
          <t>Single</t>
        </is>
      </c>
      <c r="C53" s="23">
        <f>A53&amp;"|"&amp;B53</f>
        <v/>
      </c>
      <c r="D53" s="30" t="n">
        <v>0</v>
      </c>
      <c r="E53" s="29" t="n">
        <v>0</v>
      </c>
      <c r="F53" s="26">
        <f>H53</f>
        <v/>
      </c>
      <c r="G53" s="30" t="n">
        <v>0</v>
      </c>
      <c r="H53" s="29" t="n">
        <v>999999999</v>
      </c>
      <c r="I53" s="26">
        <f>K53</f>
        <v/>
      </c>
      <c r="J53" s="30" t="n">
        <v>0</v>
      </c>
      <c r="K53" s="29" t="n">
        <v>999999999</v>
      </c>
      <c r="L53" s="26">
        <f>N53</f>
        <v/>
      </c>
      <c r="M53" s="30" t="n">
        <v>0</v>
      </c>
      <c r="N53" s="29" t="n">
        <v>999999999</v>
      </c>
      <c r="O53" s="26">
        <f>Q53</f>
        <v/>
      </c>
      <c r="P53" s="30" t="n">
        <v>0</v>
      </c>
      <c r="Q53" s="29" t="n">
        <v>999999999</v>
      </c>
      <c r="R53" s="26">
        <f>T53</f>
        <v/>
      </c>
      <c r="S53" s="30" t="n">
        <v>0</v>
      </c>
      <c r="T53" s="29" t="n">
        <v>999999999</v>
      </c>
      <c r="U53" s="26">
        <f>W53</f>
        <v/>
      </c>
      <c r="V53" s="30" t="n">
        <v>0</v>
      </c>
      <c r="W53" s="29" t="n">
        <v>999999999</v>
      </c>
      <c r="X53" s="26">
        <f>Z53</f>
        <v/>
      </c>
      <c r="Y53" s="30" t="n">
        <v>0</v>
      </c>
      <c r="Z53" s="29" t="n">
        <v>999999999</v>
      </c>
      <c r="AA53" s="26" t="n">
        <v>999999999</v>
      </c>
    </row>
    <row r="54">
      <c r="A54" s="28" t="inlineStr">
        <is>
          <t>AK</t>
        </is>
      </c>
      <c r="B54" s="28" t="inlineStr">
        <is>
          <t>MFJ</t>
        </is>
      </c>
      <c r="C54" s="23">
        <f>A54&amp;"|"&amp;B54</f>
        <v/>
      </c>
      <c r="D54" s="30" t="n">
        <v>0</v>
      </c>
      <c r="E54" s="29" t="n">
        <v>0</v>
      </c>
      <c r="F54" s="26">
        <f>H54</f>
        <v/>
      </c>
      <c r="G54" s="30" t="n">
        <v>0</v>
      </c>
      <c r="H54" s="29" t="n">
        <v>999999999</v>
      </c>
      <c r="I54" s="26">
        <f>K54</f>
        <v/>
      </c>
      <c r="J54" s="30" t="n">
        <v>0</v>
      </c>
      <c r="K54" s="29" t="n">
        <v>999999999</v>
      </c>
      <c r="L54" s="26">
        <f>N54</f>
        <v/>
      </c>
      <c r="M54" s="30" t="n">
        <v>0</v>
      </c>
      <c r="N54" s="29" t="n">
        <v>999999999</v>
      </c>
      <c r="O54" s="26">
        <f>Q54</f>
        <v/>
      </c>
      <c r="P54" s="30" t="n">
        <v>0</v>
      </c>
      <c r="Q54" s="29" t="n">
        <v>999999999</v>
      </c>
      <c r="R54" s="26">
        <f>T54</f>
        <v/>
      </c>
      <c r="S54" s="30" t="n">
        <v>0</v>
      </c>
      <c r="T54" s="29" t="n">
        <v>999999999</v>
      </c>
      <c r="U54" s="26">
        <f>W54</f>
        <v/>
      </c>
      <c r="V54" s="30" t="n">
        <v>0</v>
      </c>
      <c r="W54" s="29" t="n">
        <v>999999999</v>
      </c>
      <c r="X54" s="26">
        <f>Z54</f>
        <v/>
      </c>
      <c r="Y54" s="30" t="n">
        <v>0</v>
      </c>
      <c r="Z54" s="29" t="n">
        <v>999999999</v>
      </c>
      <c r="AA54" s="26" t="n">
        <v>999999999</v>
      </c>
    </row>
    <row r="55">
      <c r="A55" s="28" t="inlineStr">
        <is>
          <t>TN</t>
        </is>
      </c>
      <c r="B55" s="28" t="inlineStr">
        <is>
          <t>Single</t>
        </is>
      </c>
      <c r="C55" s="23">
        <f>A55&amp;"|"&amp;B55</f>
        <v/>
      </c>
      <c r="D55" s="30" t="n">
        <v>0</v>
      </c>
      <c r="E55" s="29" t="n">
        <v>0</v>
      </c>
      <c r="F55" s="26">
        <f>H55</f>
        <v/>
      </c>
      <c r="G55" s="30" t="n">
        <v>0</v>
      </c>
      <c r="H55" s="29" t="n">
        <v>999999999</v>
      </c>
      <c r="I55" s="26">
        <f>K55</f>
        <v/>
      </c>
      <c r="J55" s="30" t="n">
        <v>0</v>
      </c>
      <c r="K55" s="29" t="n">
        <v>999999999</v>
      </c>
      <c r="L55" s="26">
        <f>N55</f>
        <v/>
      </c>
      <c r="M55" s="30" t="n">
        <v>0</v>
      </c>
      <c r="N55" s="29" t="n">
        <v>999999999</v>
      </c>
      <c r="O55" s="26">
        <f>Q55</f>
        <v/>
      </c>
      <c r="P55" s="30" t="n">
        <v>0</v>
      </c>
      <c r="Q55" s="29" t="n">
        <v>999999999</v>
      </c>
      <c r="R55" s="26">
        <f>T55</f>
        <v/>
      </c>
      <c r="S55" s="30" t="n">
        <v>0</v>
      </c>
      <c r="T55" s="29" t="n">
        <v>999999999</v>
      </c>
      <c r="U55" s="26">
        <f>W55</f>
        <v/>
      </c>
      <c r="V55" s="30" t="n">
        <v>0</v>
      </c>
      <c r="W55" s="29" t="n">
        <v>999999999</v>
      </c>
      <c r="X55" s="26">
        <f>Z55</f>
        <v/>
      </c>
      <c r="Y55" s="30" t="n">
        <v>0</v>
      </c>
      <c r="Z55" s="29" t="n">
        <v>999999999</v>
      </c>
      <c r="AA55" s="26" t="n">
        <v>999999999</v>
      </c>
    </row>
    <row r="56">
      <c r="A56" s="28" t="inlineStr">
        <is>
          <t>TN</t>
        </is>
      </c>
      <c r="B56" s="28" t="inlineStr">
        <is>
          <t>MFJ</t>
        </is>
      </c>
      <c r="C56" s="23">
        <f>A56&amp;"|"&amp;B56</f>
        <v/>
      </c>
      <c r="D56" s="30" t="n">
        <v>0</v>
      </c>
      <c r="E56" s="29" t="n">
        <v>0</v>
      </c>
      <c r="F56" s="26">
        <f>H56</f>
        <v/>
      </c>
      <c r="G56" s="30" t="n">
        <v>0</v>
      </c>
      <c r="H56" s="29" t="n">
        <v>999999999</v>
      </c>
      <c r="I56" s="26">
        <f>K56</f>
        <v/>
      </c>
      <c r="J56" s="30" t="n">
        <v>0</v>
      </c>
      <c r="K56" s="29" t="n">
        <v>999999999</v>
      </c>
      <c r="L56" s="26">
        <f>N56</f>
        <v/>
      </c>
      <c r="M56" s="30" t="n">
        <v>0</v>
      </c>
      <c r="N56" s="29" t="n">
        <v>999999999</v>
      </c>
      <c r="O56" s="26">
        <f>Q56</f>
        <v/>
      </c>
      <c r="P56" s="30" t="n">
        <v>0</v>
      </c>
      <c r="Q56" s="29" t="n">
        <v>999999999</v>
      </c>
      <c r="R56" s="26">
        <f>T56</f>
        <v/>
      </c>
      <c r="S56" s="30" t="n">
        <v>0</v>
      </c>
      <c r="T56" s="29" t="n">
        <v>999999999</v>
      </c>
      <c r="U56" s="26">
        <f>W56</f>
        <v/>
      </c>
      <c r="V56" s="30" t="n">
        <v>0</v>
      </c>
      <c r="W56" s="29" t="n">
        <v>999999999</v>
      </c>
      <c r="X56" s="26">
        <f>Z56</f>
        <v/>
      </c>
      <c r="Y56" s="30" t="n">
        <v>0</v>
      </c>
      <c r="Z56" s="29" t="n">
        <v>999999999</v>
      </c>
      <c r="AA56" s="26" t="n">
        <v>999999999</v>
      </c>
    </row>
    <row r="57">
      <c r="A57" s="28" t="inlineStr">
        <is>
          <t>CO</t>
        </is>
      </c>
      <c r="B57" s="28" t="inlineStr">
        <is>
          <t>Single</t>
        </is>
      </c>
      <c r="C57" s="23">
        <f>A57&amp;"|"&amp;B57</f>
        <v/>
      </c>
      <c r="D57" s="30" t="n">
        <v>0.044</v>
      </c>
      <c r="E57" s="29" t="n">
        <v>0</v>
      </c>
      <c r="F57" s="26">
        <f>H57</f>
        <v/>
      </c>
      <c r="G57" s="30" t="n">
        <v>0</v>
      </c>
      <c r="H57" s="29" t="n">
        <v>999999999</v>
      </c>
      <c r="I57" s="26">
        <f>K57</f>
        <v/>
      </c>
      <c r="J57" s="30" t="n">
        <v>0</v>
      </c>
      <c r="K57" s="29" t="n">
        <v>999999999</v>
      </c>
      <c r="L57" s="26">
        <f>N57</f>
        <v/>
      </c>
      <c r="M57" s="30" t="n">
        <v>0</v>
      </c>
      <c r="N57" s="29" t="n">
        <v>999999999</v>
      </c>
      <c r="O57" s="26">
        <f>Q57</f>
        <v/>
      </c>
      <c r="P57" s="30" t="n">
        <v>0</v>
      </c>
      <c r="Q57" s="29" t="n">
        <v>999999999</v>
      </c>
      <c r="R57" s="26">
        <f>T57</f>
        <v/>
      </c>
      <c r="S57" s="30" t="n">
        <v>0</v>
      </c>
      <c r="T57" s="29" t="n">
        <v>999999999</v>
      </c>
      <c r="U57" s="26">
        <f>W57</f>
        <v/>
      </c>
      <c r="V57" s="30" t="n">
        <v>0</v>
      </c>
      <c r="W57" s="29" t="n">
        <v>999999999</v>
      </c>
      <c r="X57" s="26">
        <f>Z57</f>
        <v/>
      </c>
      <c r="Y57" s="30" t="n">
        <v>0</v>
      </c>
      <c r="Z57" s="29" t="n">
        <v>999999999</v>
      </c>
      <c r="AA57" s="26" t="n">
        <v>999999999</v>
      </c>
    </row>
    <row r="58">
      <c r="A58" s="28" t="inlineStr">
        <is>
          <t>CO</t>
        </is>
      </c>
      <c r="B58" s="28" t="inlineStr">
        <is>
          <t>MFJ</t>
        </is>
      </c>
      <c r="C58" s="23">
        <f>A58&amp;"|"&amp;B58</f>
        <v/>
      </c>
      <c r="D58" s="30" t="n">
        <v>0.044</v>
      </c>
      <c r="E58" s="29" t="n">
        <v>0</v>
      </c>
      <c r="F58" s="26">
        <f>H58</f>
        <v/>
      </c>
      <c r="G58" s="30" t="n">
        <v>0</v>
      </c>
      <c r="H58" s="29" t="n">
        <v>999999999</v>
      </c>
      <c r="I58" s="26">
        <f>K58</f>
        <v/>
      </c>
      <c r="J58" s="30" t="n">
        <v>0</v>
      </c>
      <c r="K58" s="29" t="n">
        <v>999999999</v>
      </c>
      <c r="L58" s="26">
        <f>N58</f>
        <v/>
      </c>
      <c r="M58" s="30" t="n">
        <v>0</v>
      </c>
      <c r="N58" s="29" t="n">
        <v>999999999</v>
      </c>
      <c r="O58" s="26">
        <f>Q58</f>
        <v/>
      </c>
      <c r="P58" s="30" t="n">
        <v>0</v>
      </c>
      <c r="Q58" s="29" t="n">
        <v>999999999</v>
      </c>
      <c r="R58" s="26">
        <f>T58</f>
        <v/>
      </c>
      <c r="S58" s="30" t="n">
        <v>0</v>
      </c>
      <c r="T58" s="29" t="n">
        <v>999999999</v>
      </c>
      <c r="U58" s="26">
        <f>W58</f>
        <v/>
      </c>
      <c r="V58" s="30" t="n">
        <v>0</v>
      </c>
      <c r="W58" s="29" t="n">
        <v>999999999</v>
      </c>
      <c r="X58" s="26">
        <f>Z58</f>
        <v/>
      </c>
      <c r="Y58" s="30" t="n">
        <v>0</v>
      </c>
      <c r="Z58" s="29" t="n">
        <v>999999999</v>
      </c>
      <c r="AA58" s="26" t="n">
        <v>999999999</v>
      </c>
    </row>
    <row r="59">
      <c r="A59" s="28" t="inlineStr">
        <is>
          <t>IL</t>
        </is>
      </c>
      <c r="B59" s="28" t="inlineStr">
        <is>
          <t>Single</t>
        </is>
      </c>
      <c r="C59" s="23">
        <f>A59&amp;"|"&amp;B59</f>
        <v/>
      </c>
      <c r="D59" s="30" t="n">
        <v>0.0495</v>
      </c>
      <c r="E59" s="29" t="n">
        <v>0</v>
      </c>
      <c r="F59" s="26">
        <f>H59</f>
        <v/>
      </c>
      <c r="G59" s="30" t="n">
        <v>0</v>
      </c>
      <c r="H59" s="29" t="n">
        <v>999999999</v>
      </c>
      <c r="I59" s="26">
        <f>K59</f>
        <v/>
      </c>
      <c r="J59" s="30" t="n">
        <v>0</v>
      </c>
      <c r="K59" s="29" t="n">
        <v>999999999</v>
      </c>
      <c r="L59" s="26">
        <f>N59</f>
        <v/>
      </c>
      <c r="M59" s="30" t="n">
        <v>0</v>
      </c>
      <c r="N59" s="29" t="n">
        <v>999999999</v>
      </c>
      <c r="O59" s="26">
        <f>Q59</f>
        <v/>
      </c>
      <c r="P59" s="30" t="n">
        <v>0</v>
      </c>
      <c r="Q59" s="29" t="n">
        <v>999999999</v>
      </c>
      <c r="R59" s="26">
        <f>T59</f>
        <v/>
      </c>
      <c r="S59" s="30" t="n">
        <v>0</v>
      </c>
      <c r="T59" s="29" t="n">
        <v>999999999</v>
      </c>
      <c r="U59" s="26">
        <f>W59</f>
        <v/>
      </c>
      <c r="V59" s="30" t="n">
        <v>0</v>
      </c>
      <c r="W59" s="29" t="n">
        <v>999999999</v>
      </c>
      <c r="X59" s="26">
        <f>Z59</f>
        <v/>
      </c>
      <c r="Y59" s="30" t="n">
        <v>0</v>
      </c>
      <c r="Z59" s="29" t="n">
        <v>999999999</v>
      </c>
      <c r="AA59" s="26" t="n">
        <v>999999999</v>
      </c>
    </row>
    <row r="60">
      <c r="A60" s="28" t="inlineStr">
        <is>
          <t>IL</t>
        </is>
      </c>
      <c r="B60" s="28" t="inlineStr">
        <is>
          <t>MFJ</t>
        </is>
      </c>
      <c r="C60" s="23">
        <f>A60&amp;"|"&amp;B60</f>
        <v/>
      </c>
      <c r="D60" s="30" t="n">
        <v>0.0495</v>
      </c>
      <c r="E60" s="29" t="n">
        <v>0</v>
      </c>
      <c r="F60" s="26">
        <f>H60</f>
        <v/>
      </c>
      <c r="G60" s="30" t="n">
        <v>0</v>
      </c>
      <c r="H60" s="29" t="n">
        <v>999999999</v>
      </c>
      <c r="I60" s="26">
        <f>K60</f>
        <v/>
      </c>
      <c r="J60" s="30" t="n">
        <v>0</v>
      </c>
      <c r="K60" s="29" t="n">
        <v>999999999</v>
      </c>
      <c r="L60" s="26">
        <f>N60</f>
        <v/>
      </c>
      <c r="M60" s="30" t="n">
        <v>0</v>
      </c>
      <c r="N60" s="29" t="n">
        <v>999999999</v>
      </c>
      <c r="O60" s="26">
        <f>Q60</f>
        <v/>
      </c>
      <c r="P60" s="30" t="n">
        <v>0</v>
      </c>
      <c r="Q60" s="29" t="n">
        <v>999999999</v>
      </c>
      <c r="R60" s="26">
        <f>T60</f>
        <v/>
      </c>
      <c r="S60" s="30" t="n">
        <v>0</v>
      </c>
      <c r="T60" s="29" t="n">
        <v>999999999</v>
      </c>
      <c r="U60" s="26">
        <f>W60</f>
        <v/>
      </c>
      <c r="V60" s="30" t="n">
        <v>0</v>
      </c>
      <c r="W60" s="29" t="n">
        <v>999999999</v>
      </c>
      <c r="X60" s="26">
        <f>Z60</f>
        <v/>
      </c>
      <c r="Y60" s="30" t="n">
        <v>0</v>
      </c>
      <c r="Z60" s="29" t="n">
        <v>999999999</v>
      </c>
      <c r="AA60" s="26" t="n">
        <v>999999999</v>
      </c>
    </row>
    <row r="61">
      <c r="A61" s="28" t="inlineStr">
        <is>
          <t>IN</t>
        </is>
      </c>
      <c r="B61" s="28" t="inlineStr">
        <is>
          <t>Single</t>
        </is>
      </c>
      <c r="C61" s="23">
        <f>A61&amp;"|"&amp;B61</f>
        <v/>
      </c>
      <c r="D61" s="30" t="n">
        <v>0.0305</v>
      </c>
      <c r="E61" s="29" t="n">
        <v>0</v>
      </c>
      <c r="F61" s="26">
        <f>H61</f>
        <v/>
      </c>
      <c r="G61" s="30" t="n">
        <v>0</v>
      </c>
      <c r="H61" s="29" t="n">
        <v>999999999</v>
      </c>
      <c r="I61" s="26">
        <f>K61</f>
        <v/>
      </c>
      <c r="J61" s="30" t="n">
        <v>0</v>
      </c>
      <c r="K61" s="29" t="n">
        <v>999999999</v>
      </c>
      <c r="L61" s="26">
        <f>N61</f>
        <v/>
      </c>
      <c r="M61" s="30" t="n">
        <v>0</v>
      </c>
      <c r="N61" s="29" t="n">
        <v>999999999</v>
      </c>
      <c r="O61" s="26">
        <f>Q61</f>
        <v/>
      </c>
      <c r="P61" s="30" t="n">
        <v>0</v>
      </c>
      <c r="Q61" s="29" t="n">
        <v>999999999</v>
      </c>
      <c r="R61" s="26">
        <f>T61</f>
        <v/>
      </c>
      <c r="S61" s="30" t="n">
        <v>0</v>
      </c>
      <c r="T61" s="29" t="n">
        <v>999999999</v>
      </c>
      <c r="U61" s="26">
        <f>W61</f>
        <v/>
      </c>
      <c r="V61" s="30" t="n">
        <v>0</v>
      </c>
      <c r="W61" s="29" t="n">
        <v>999999999</v>
      </c>
      <c r="X61" s="26">
        <f>Z61</f>
        <v/>
      </c>
      <c r="Y61" s="30" t="n">
        <v>0</v>
      </c>
      <c r="Z61" s="29" t="n">
        <v>999999999</v>
      </c>
      <c r="AA61" s="26" t="n">
        <v>999999999</v>
      </c>
    </row>
    <row r="62">
      <c r="A62" s="28" t="inlineStr">
        <is>
          <t>IN</t>
        </is>
      </c>
      <c r="B62" s="28" t="inlineStr">
        <is>
          <t>MFJ</t>
        </is>
      </c>
      <c r="C62" s="23">
        <f>A62&amp;"|"&amp;B62</f>
        <v/>
      </c>
      <c r="D62" s="30" t="n">
        <v>0.0305</v>
      </c>
      <c r="E62" s="29" t="n">
        <v>0</v>
      </c>
      <c r="F62" s="26">
        <f>H62</f>
        <v/>
      </c>
      <c r="G62" s="30" t="n">
        <v>0</v>
      </c>
      <c r="H62" s="29" t="n">
        <v>999999999</v>
      </c>
      <c r="I62" s="26">
        <f>K62</f>
        <v/>
      </c>
      <c r="J62" s="30" t="n">
        <v>0</v>
      </c>
      <c r="K62" s="29" t="n">
        <v>999999999</v>
      </c>
      <c r="L62" s="26">
        <f>N62</f>
        <v/>
      </c>
      <c r="M62" s="30" t="n">
        <v>0</v>
      </c>
      <c r="N62" s="29" t="n">
        <v>999999999</v>
      </c>
      <c r="O62" s="26">
        <f>Q62</f>
        <v/>
      </c>
      <c r="P62" s="30" t="n">
        <v>0</v>
      </c>
      <c r="Q62" s="29" t="n">
        <v>999999999</v>
      </c>
      <c r="R62" s="26">
        <f>T62</f>
        <v/>
      </c>
      <c r="S62" s="30" t="n">
        <v>0</v>
      </c>
      <c r="T62" s="29" t="n">
        <v>999999999</v>
      </c>
      <c r="U62" s="26">
        <f>W62</f>
        <v/>
      </c>
      <c r="V62" s="30" t="n">
        <v>0</v>
      </c>
      <c r="W62" s="29" t="n">
        <v>999999999</v>
      </c>
      <c r="X62" s="26">
        <f>Z62</f>
        <v/>
      </c>
      <c r="Y62" s="30" t="n">
        <v>0</v>
      </c>
      <c r="Z62" s="29" t="n">
        <v>999999999</v>
      </c>
      <c r="AA62" s="26" t="n">
        <v>999999999</v>
      </c>
    </row>
    <row r="63">
      <c r="A63" s="28" t="inlineStr">
        <is>
          <t>MI</t>
        </is>
      </c>
      <c r="B63" s="28" t="inlineStr">
        <is>
          <t>Single</t>
        </is>
      </c>
      <c r="C63" s="23">
        <f>A63&amp;"|"&amp;B63</f>
        <v/>
      </c>
      <c r="D63" s="30" t="n">
        <v>0.0425</v>
      </c>
      <c r="E63" s="29" t="n">
        <v>0</v>
      </c>
      <c r="F63" s="26">
        <f>H63</f>
        <v/>
      </c>
      <c r="G63" s="30" t="n">
        <v>0</v>
      </c>
      <c r="H63" s="29" t="n">
        <v>999999999</v>
      </c>
      <c r="I63" s="26">
        <f>K63</f>
        <v/>
      </c>
      <c r="J63" s="30" t="n">
        <v>0</v>
      </c>
      <c r="K63" s="29" t="n">
        <v>999999999</v>
      </c>
      <c r="L63" s="26">
        <f>N63</f>
        <v/>
      </c>
      <c r="M63" s="30" t="n">
        <v>0</v>
      </c>
      <c r="N63" s="29" t="n">
        <v>999999999</v>
      </c>
      <c r="O63" s="26">
        <f>Q63</f>
        <v/>
      </c>
      <c r="P63" s="30" t="n">
        <v>0</v>
      </c>
      <c r="Q63" s="29" t="n">
        <v>999999999</v>
      </c>
      <c r="R63" s="26">
        <f>T63</f>
        <v/>
      </c>
      <c r="S63" s="30" t="n">
        <v>0</v>
      </c>
      <c r="T63" s="29" t="n">
        <v>999999999</v>
      </c>
      <c r="U63" s="26">
        <f>W63</f>
        <v/>
      </c>
      <c r="V63" s="30" t="n">
        <v>0</v>
      </c>
      <c r="W63" s="29" t="n">
        <v>999999999</v>
      </c>
      <c r="X63" s="26">
        <f>Z63</f>
        <v/>
      </c>
      <c r="Y63" s="30" t="n">
        <v>0</v>
      </c>
      <c r="Z63" s="29" t="n">
        <v>999999999</v>
      </c>
      <c r="AA63" s="26" t="n">
        <v>999999999</v>
      </c>
    </row>
    <row r="64">
      <c r="A64" s="28" t="inlineStr">
        <is>
          <t>MI</t>
        </is>
      </c>
      <c r="B64" s="28" t="inlineStr">
        <is>
          <t>MFJ</t>
        </is>
      </c>
      <c r="C64" s="23">
        <f>A64&amp;"|"&amp;B64</f>
        <v/>
      </c>
      <c r="D64" s="30" t="n">
        <v>0.0425</v>
      </c>
      <c r="E64" s="29" t="n">
        <v>0</v>
      </c>
      <c r="F64" s="26">
        <f>H64</f>
        <v/>
      </c>
      <c r="G64" s="30" t="n">
        <v>0</v>
      </c>
      <c r="H64" s="29" t="n">
        <v>999999999</v>
      </c>
      <c r="I64" s="26">
        <f>K64</f>
        <v/>
      </c>
      <c r="J64" s="30" t="n">
        <v>0</v>
      </c>
      <c r="K64" s="29" t="n">
        <v>999999999</v>
      </c>
      <c r="L64" s="26">
        <f>N64</f>
        <v/>
      </c>
      <c r="M64" s="30" t="n">
        <v>0</v>
      </c>
      <c r="N64" s="29" t="n">
        <v>999999999</v>
      </c>
      <c r="O64" s="26">
        <f>Q64</f>
        <v/>
      </c>
      <c r="P64" s="30" t="n">
        <v>0</v>
      </c>
      <c r="Q64" s="29" t="n">
        <v>999999999</v>
      </c>
      <c r="R64" s="26">
        <f>T64</f>
        <v/>
      </c>
      <c r="S64" s="30" t="n">
        <v>0</v>
      </c>
      <c r="T64" s="29" t="n">
        <v>999999999</v>
      </c>
      <c r="U64" s="26">
        <f>W64</f>
        <v/>
      </c>
      <c r="V64" s="30" t="n">
        <v>0</v>
      </c>
      <c r="W64" s="29" t="n">
        <v>999999999</v>
      </c>
      <c r="X64" s="26">
        <f>Z64</f>
        <v/>
      </c>
      <c r="Y64" s="30" t="n">
        <v>0</v>
      </c>
      <c r="Z64" s="29" t="n">
        <v>999999999</v>
      </c>
      <c r="AA64" s="26" t="n">
        <v>999999999</v>
      </c>
    </row>
    <row r="65">
      <c r="A65" s="28" t="inlineStr">
        <is>
          <t>NC</t>
        </is>
      </c>
      <c r="B65" s="28" t="inlineStr">
        <is>
          <t>Single</t>
        </is>
      </c>
      <c r="C65" s="23">
        <f>A65&amp;"|"&amp;B65</f>
        <v/>
      </c>
      <c r="D65" s="30" t="n">
        <v>0.045</v>
      </c>
      <c r="E65" s="29" t="n">
        <v>0</v>
      </c>
      <c r="F65" s="26">
        <f>H65</f>
        <v/>
      </c>
      <c r="G65" s="30" t="n">
        <v>0</v>
      </c>
      <c r="H65" s="29" t="n">
        <v>999999999</v>
      </c>
      <c r="I65" s="26">
        <f>K65</f>
        <v/>
      </c>
      <c r="J65" s="30" t="n">
        <v>0</v>
      </c>
      <c r="K65" s="29" t="n">
        <v>999999999</v>
      </c>
      <c r="L65" s="26">
        <f>N65</f>
        <v/>
      </c>
      <c r="M65" s="30" t="n">
        <v>0</v>
      </c>
      <c r="N65" s="29" t="n">
        <v>999999999</v>
      </c>
      <c r="O65" s="26">
        <f>Q65</f>
        <v/>
      </c>
      <c r="P65" s="30" t="n">
        <v>0</v>
      </c>
      <c r="Q65" s="29" t="n">
        <v>999999999</v>
      </c>
      <c r="R65" s="26">
        <f>T65</f>
        <v/>
      </c>
      <c r="S65" s="30" t="n">
        <v>0</v>
      </c>
      <c r="T65" s="29" t="n">
        <v>999999999</v>
      </c>
      <c r="U65" s="26">
        <f>W65</f>
        <v/>
      </c>
      <c r="V65" s="30" t="n">
        <v>0</v>
      </c>
      <c r="W65" s="29" t="n">
        <v>999999999</v>
      </c>
      <c r="X65" s="26">
        <f>Z65</f>
        <v/>
      </c>
      <c r="Y65" s="30" t="n">
        <v>0</v>
      </c>
      <c r="Z65" s="29" t="n">
        <v>999999999</v>
      </c>
      <c r="AA65" s="26" t="n">
        <v>999999999</v>
      </c>
    </row>
    <row r="66">
      <c r="A66" s="28" t="inlineStr">
        <is>
          <t>NC</t>
        </is>
      </c>
      <c r="B66" s="28" t="inlineStr">
        <is>
          <t>MFJ</t>
        </is>
      </c>
      <c r="C66" s="23">
        <f>A66&amp;"|"&amp;B66</f>
        <v/>
      </c>
      <c r="D66" s="30" t="n">
        <v>0.045</v>
      </c>
      <c r="E66" s="29" t="n">
        <v>0</v>
      </c>
      <c r="F66" s="26">
        <f>H66</f>
        <v/>
      </c>
      <c r="G66" s="30" t="n">
        <v>0</v>
      </c>
      <c r="H66" s="29" t="n">
        <v>999999999</v>
      </c>
      <c r="I66" s="26">
        <f>K66</f>
        <v/>
      </c>
      <c r="J66" s="30" t="n">
        <v>0</v>
      </c>
      <c r="K66" s="29" t="n">
        <v>999999999</v>
      </c>
      <c r="L66" s="26">
        <f>N66</f>
        <v/>
      </c>
      <c r="M66" s="30" t="n">
        <v>0</v>
      </c>
      <c r="N66" s="29" t="n">
        <v>999999999</v>
      </c>
      <c r="O66" s="26">
        <f>Q66</f>
        <v/>
      </c>
      <c r="P66" s="30" t="n">
        <v>0</v>
      </c>
      <c r="Q66" s="29" t="n">
        <v>999999999</v>
      </c>
      <c r="R66" s="26">
        <f>T66</f>
        <v/>
      </c>
      <c r="S66" s="30" t="n">
        <v>0</v>
      </c>
      <c r="T66" s="29" t="n">
        <v>999999999</v>
      </c>
      <c r="U66" s="26">
        <f>W66</f>
        <v/>
      </c>
      <c r="V66" s="30" t="n">
        <v>0</v>
      </c>
      <c r="W66" s="29" t="n">
        <v>999999999</v>
      </c>
      <c r="X66" s="26">
        <f>Z66</f>
        <v/>
      </c>
      <c r="Y66" s="30" t="n">
        <v>0</v>
      </c>
      <c r="Z66" s="29" t="n">
        <v>999999999</v>
      </c>
      <c r="AA66" s="26" t="n">
        <v>999999999</v>
      </c>
    </row>
    <row r="67">
      <c r="A67" s="28" t="inlineStr">
        <is>
          <t>PA</t>
        </is>
      </c>
      <c r="B67" s="28" t="inlineStr">
        <is>
          <t>Single</t>
        </is>
      </c>
      <c r="C67" s="23">
        <f>A67&amp;"|"&amp;B67</f>
        <v/>
      </c>
      <c r="D67" s="30" t="n">
        <v>0.0307</v>
      </c>
      <c r="E67" s="29" t="n">
        <v>0</v>
      </c>
      <c r="F67" s="26">
        <f>H67</f>
        <v/>
      </c>
      <c r="G67" s="30" t="n">
        <v>0</v>
      </c>
      <c r="H67" s="29" t="n">
        <v>999999999</v>
      </c>
      <c r="I67" s="26">
        <f>K67</f>
        <v/>
      </c>
      <c r="J67" s="30" t="n">
        <v>0</v>
      </c>
      <c r="K67" s="29" t="n">
        <v>999999999</v>
      </c>
      <c r="L67" s="26">
        <f>N67</f>
        <v/>
      </c>
      <c r="M67" s="30" t="n">
        <v>0</v>
      </c>
      <c r="N67" s="29" t="n">
        <v>999999999</v>
      </c>
      <c r="O67" s="26">
        <f>Q67</f>
        <v/>
      </c>
      <c r="P67" s="30" t="n">
        <v>0</v>
      </c>
      <c r="Q67" s="29" t="n">
        <v>999999999</v>
      </c>
      <c r="R67" s="26">
        <f>T67</f>
        <v/>
      </c>
      <c r="S67" s="30" t="n">
        <v>0</v>
      </c>
      <c r="T67" s="29" t="n">
        <v>999999999</v>
      </c>
      <c r="U67" s="26">
        <f>W67</f>
        <v/>
      </c>
      <c r="V67" s="30" t="n">
        <v>0</v>
      </c>
      <c r="W67" s="29" t="n">
        <v>999999999</v>
      </c>
      <c r="X67" s="26">
        <f>Z67</f>
        <v/>
      </c>
      <c r="Y67" s="30" t="n">
        <v>0</v>
      </c>
      <c r="Z67" s="29" t="n">
        <v>999999999</v>
      </c>
      <c r="AA67" s="26" t="n">
        <v>999999999</v>
      </c>
    </row>
    <row r="68">
      <c r="A68" s="28" t="inlineStr">
        <is>
          <t>PA</t>
        </is>
      </c>
      <c r="B68" s="28" t="inlineStr">
        <is>
          <t>MFJ</t>
        </is>
      </c>
      <c r="C68" s="23">
        <f>A68&amp;"|"&amp;B68</f>
        <v/>
      </c>
      <c r="D68" s="30" t="n">
        <v>0.0307</v>
      </c>
      <c r="E68" s="29" t="n">
        <v>0</v>
      </c>
      <c r="F68" s="26">
        <f>H68</f>
        <v/>
      </c>
      <c r="G68" s="30" t="n">
        <v>0</v>
      </c>
      <c r="H68" s="29" t="n">
        <v>999999999</v>
      </c>
      <c r="I68" s="26">
        <f>K68</f>
        <v/>
      </c>
      <c r="J68" s="30" t="n">
        <v>0</v>
      </c>
      <c r="K68" s="29" t="n">
        <v>999999999</v>
      </c>
      <c r="L68" s="26">
        <f>N68</f>
        <v/>
      </c>
      <c r="M68" s="30" t="n">
        <v>0</v>
      </c>
      <c r="N68" s="29" t="n">
        <v>999999999</v>
      </c>
      <c r="O68" s="26">
        <f>Q68</f>
        <v/>
      </c>
      <c r="P68" s="30" t="n">
        <v>0</v>
      </c>
      <c r="Q68" s="29" t="n">
        <v>999999999</v>
      </c>
      <c r="R68" s="26">
        <f>T68</f>
        <v/>
      </c>
      <c r="S68" s="30" t="n">
        <v>0</v>
      </c>
      <c r="T68" s="29" t="n">
        <v>999999999</v>
      </c>
      <c r="U68" s="26">
        <f>W68</f>
        <v/>
      </c>
      <c r="V68" s="30" t="n">
        <v>0</v>
      </c>
      <c r="W68" s="29" t="n">
        <v>999999999</v>
      </c>
      <c r="X68" s="26">
        <f>Z68</f>
        <v/>
      </c>
      <c r="Y68" s="30" t="n">
        <v>0</v>
      </c>
      <c r="Z68" s="29" t="n">
        <v>999999999</v>
      </c>
      <c r="AA68" s="26" t="n">
        <v>999999999</v>
      </c>
    </row>
    <row r="69">
      <c r="A69" s="28" t="inlineStr">
        <is>
          <t>UT</t>
        </is>
      </c>
      <c r="B69" s="28" t="inlineStr">
        <is>
          <t>Single</t>
        </is>
      </c>
      <c r="C69" s="23">
        <f>A69&amp;"|"&amp;B69</f>
        <v/>
      </c>
      <c r="D69" s="30" t="n">
        <v>0.0455</v>
      </c>
      <c r="E69" s="29" t="n">
        <v>0</v>
      </c>
      <c r="F69" s="26">
        <f>H69</f>
        <v/>
      </c>
      <c r="G69" s="30" t="n">
        <v>0</v>
      </c>
      <c r="H69" s="29" t="n">
        <v>999999999</v>
      </c>
      <c r="I69" s="26">
        <f>K69</f>
        <v/>
      </c>
      <c r="J69" s="30" t="n">
        <v>0</v>
      </c>
      <c r="K69" s="29" t="n">
        <v>999999999</v>
      </c>
      <c r="L69" s="26">
        <f>N69</f>
        <v/>
      </c>
      <c r="M69" s="30" t="n">
        <v>0</v>
      </c>
      <c r="N69" s="29" t="n">
        <v>999999999</v>
      </c>
      <c r="O69" s="26">
        <f>Q69</f>
        <v/>
      </c>
      <c r="P69" s="30" t="n">
        <v>0</v>
      </c>
      <c r="Q69" s="29" t="n">
        <v>999999999</v>
      </c>
      <c r="R69" s="26">
        <f>T69</f>
        <v/>
      </c>
      <c r="S69" s="30" t="n">
        <v>0</v>
      </c>
      <c r="T69" s="29" t="n">
        <v>999999999</v>
      </c>
      <c r="U69" s="26">
        <f>W69</f>
        <v/>
      </c>
      <c r="V69" s="30" t="n">
        <v>0</v>
      </c>
      <c r="W69" s="29" t="n">
        <v>999999999</v>
      </c>
      <c r="X69" s="26">
        <f>Z69</f>
        <v/>
      </c>
      <c r="Y69" s="30" t="n">
        <v>0</v>
      </c>
      <c r="Z69" s="29" t="n">
        <v>999999999</v>
      </c>
      <c r="AA69" s="26" t="n">
        <v>999999999</v>
      </c>
    </row>
    <row r="70">
      <c r="A70" s="28" t="inlineStr">
        <is>
          <t>UT</t>
        </is>
      </c>
      <c r="B70" s="28" t="inlineStr">
        <is>
          <t>MFJ</t>
        </is>
      </c>
      <c r="C70" s="23">
        <f>A70&amp;"|"&amp;B70</f>
        <v/>
      </c>
      <c r="D70" s="30" t="n">
        <v>0.0455</v>
      </c>
      <c r="E70" s="29" t="n">
        <v>0</v>
      </c>
      <c r="F70" s="26">
        <f>H70</f>
        <v/>
      </c>
      <c r="G70" s="30" t="n">
        <v>0</v>
      </c>
      <c r="H70" s="29" t="n">
        <v>999999999</v>
      </c>
      <c r="I70" s="26">
        <f>K70</f>
        <v/>
      </c>
      <c r="J70" s="30" t="n">
        <v>0</v>
      </c>
      <c r="K70" s="29" t="n">
        <v>999999999</v>
      </c>
      <c r="L70" s="26">
        <f>N70</f>
        <v/>
      </c>
      <c r="M70" s="30" t="n">
        <v>0</v>
      </c>
      <c r="N70" s="29" t="n">
        <v>999999999</v>
      </c>
      <c r="O70" s="26">
        <f>Q70</f>
        <v/>
      </c>
      <c r="P70" s="30" t="n">
        <v>0</v>
      </c>
      <c r="Q70" s="29" t="n">
        <v>999999999</v>
      </c>
      <c r="R70" s="26">
        <f>T70</f>
        <v/>
      </c>
      <c r="S70" s="30" t="n">
        <v>0</v>
      </c>
      <c r="T70" s="29" t="n">
        <v>999999999</v>
      </c>
      <c r="U70" s="26">
        <f>W70</f>
        <v/>
      </c>
      <c r="V70" s="30" t="n">
        <v>0</v>
      </c>
      <c r="W70" s="29" t="n">
        <v>999999999</v>
      </c>
      <c r="X70" s="26">
        <f>Z70</f>
        <v/>
      </c>
      <c r="Y70" s="30" t="n">
        <v>0</v>
      </c>
      <c r="Z70" s="29" t="n">
        <v>999999999</v>
      </c>
      <c r="AA70" s="26" t="n">
        <v>999999999</v>
      </c>
    </row>
    <row r="71">
      <c r="A71" s="28" t="inlineStr">
        <is>
          <t>KY</t>
        </is>
      </c>
      <c r="B71" s="28" t="inlineStr">
        <is>
          <t>Single</t>
        </is>
      </c>
      <c r="C71" s="23">
        <f>A71&amp;"|"&amp;B71</f>
        <v/>
      </c>
      <c r="D71" s="30" t="n">
        <v>0.04</v>
      </c>
      <c r="E71" s="29" t="n">
        <v>0</v>
      </c>
      <c r="F71" s="26">
        <f>H71</f>
        <v/>
      </c>
      <c r="G71" s="30" t="n">
        <v>0</v>
      </c>
      <c r="H71" s="29" t="n">
        <v>999999999</v>
      </c>
      <c r="I71" s="26">
        <f>K71</f>
        <v/>
      </c>
      <c r="J71" s="30" t="n">
        <v>0</v>
      </c>
      <c r="K71" s="29" t="n">
        <v>999999999</v>
      </c>
      <c r="L71" s="26">
        <f>N71</f>
        <v/>
      </c>
      <c r="M71" s="30" t="n">
        <v>0</v>
      </c>
      <c r="N71" s="29" t="n">
        <v>999999999</v>
      </c>
      <c r="O71" s="26">
        <f>Q71</f>
        <v/>
      </c>
      <c r="P71" s="30" t="n">
        <v>0</v>
      </c>
      <c r="Q71" s="29" t="n">
        <v>999999999</v>
      </c>
      <c r="R71" s="26">
        <f>T71</f>
        <v/>
      </c>
      <c r="S71" s="30" t="n">
        <v>0</v>
      </c>
      <c r="T71" s="29" t="n">
        <v>999999999</v>
      </c>
      <c r="U71" s="26">
        <f>W71</f>
        <v/>
      </c>
      <c r="V71" s="30" t="n">
        <v>0</v>
      </c>
      <c r="W71" s="29" t="n">
        <v>999999999</v>
      </c>
      <c r="X71" s="26">
        <f>Z71</f>
        <v/>
      </c>
      <c r="Y71" s="30" t="n">
        <v>0</v>
      </c>
      <c r="Z71" s="29" t="n">
        <v>999999999</v>
      </c>
      <c r="AA71" s="26" t="n">
        <v>999999999</v>
      </c>
    </row>
    <row r="72">
      <c r="A72" s="28" t="inlineStr">
        <is>
          <t>KY</t>
        </is>
      </c>
      <c r="B72" s="28" t="inlineStr">
        <is>
          <t>MFJ</t>
        </is>
      </c>
      <c r="C72" s="23">
        <f>A72&amp;"|"&amp;B72</f>
        <v/>
      </c>
      <c r="D72" s="30" t="n">
        <v>0.04</v>
      </c>
      <c r="E72" s="29" t="n">
        <v>0</v>
      </c>
      <c r="F72" s="26">
        <f>H72</f>
        <v/>
      </c>
      <c r="G72" s="30" t="n">
        <v>0</v>
      </c>
      <c r="H72" s="29" t="n">
        <v>999999999</v>
      </c>
      <c r="I72" s="26">
        <f>K72</f>
        <v/>
      </c>
      <c r="J72" s="30" t="n">
        <v>0</v>
      </c>
      <c r="K72" s="29" t="n">
        <v>999999999</v>
      </c>
      <c r="L72" s="26">
        <f>N72</f>
        <v/>
      </c>
      <c r="M72" s="30" t="n">
        <v>0</v>
      </c>
      <c r="N72" s="29" t="n">
        <v>999999999</v>
      </c>
      <c r="O72" s="26">
        <f>Q72</f>
        <v/>
      </c>
      <c r="P72" s="30" t="n">
        <v>0</v>
      </c>
      <c r="Q72" s="29" t="n">
        <v>999999999</v>
      </c>
      <c r="R72" s="26">
        <f>T72</f>
        <v/>
      </c>
      <c r="S72" s="30" t="n">
        <v>0</v>
      </c>
      <c r="T72" s="29" t="n">
        <v>999999999</v>
      </c>
      <c r="U72" s="26">
        <f>W72</f>
        <v/>
      </c>
      <c r="V72" s="30" t="n">
        <v>0</v>
      </c>
      <c r="W72" s="29" t="n">
        <v>999999999</v>
      </c>
      <c r="X72" s="26">
        <f>Z72</f>
        <v/>
      </c>
      <c r="Y72" s="30" t="n">
        <v>0</v>
      </c>
      <c r="Z72" s="29" t="n">
        <v>999999999</v>
      </c>
      <c r="AA72" s="26" t="n">
        <v>999999999</v>
      </c>
    </row>
    <row r="73">
      <c r="A73" s="28" t="inlineStr">
        <is>
          <t>AZ</t>
        </is>
      </c>
      <c r="B73" s="28" t="inlineStr">
        <is>
          <t>Single</t>
        </is>
      </c>
      <c r="C73" s="23">
        <f>A73&amp;"|"&amp;B73</f>
        <v/>
      </c>
      <c r="D73" s="30" t="n">
        <v>0.025</v>
      </c>
      <c r="E73" s="29" t="n">
        <v>0</v>
      </c>
      <c r="F73" s="26">
        <f>H73</f>
        <v/>
      </c>
      <c r="G73" s="30" t="n">
        <v>0</v>
      </c>
      <c r="H73" s="29" t="n">
        <v>999999999</v>
      </c>
      <c r="I73" s="26">
        <f>K73</f>
        <v/>
      </c>
      <c r="J73" s="30" t="n">
        <v>0</v>
      </c>
      <c r="K73" s="29" t="n">
        <v>999999999</v>
      </c>
      <c r="L73" s="26">
        <f>N73</f>
        <v/>
      </c>
      <c r="M73" s="30" t="n">
        <v>0</v>
      </c>
      <c r="N73" s="29" t="n">
        <v>999999999</v>
      </c>
      <c r="O73" s="26">
        <f>Q73</f>
        <v/>
      </c>
      <c r="P73" s="30" t="n">
        <v>0</v>
      </c>
      <c r="Q73" s="29" t="n">
        <v>999999999</v>
      </c>
      <c r="R73" s="26">
        <f>T73</f>
        <v/>
      </c>
      <c r="S73" s="30" t="n">
        <v>0</v>
      </c>
      <c r="T73" s="29" t="n">
        <v>999999999</v>
      </c>
      <c r="U73" s="26">
        <f>W73</f>
        <v/>
      </c>
      <c r="V73" s="30" t="n">
        <v>0</v>
      </c>
      <c r="W73" s="29" t="n">
        <v>999999999</v>
      </c>
      <c r="X73" s="26">
        <f>Z73</f>
        <v/>
      </c>
      <c r="Y73" s="30" t="n">
        <v>0</v>
      </c>
      <c r="Z73" s="29" t="n">
        <v>999999999</v>
      </c>
      <c r="AA73" s="26" t="n">
        <v>999999999</v>
      </c>
    </row>
    <row r="74">
      <c r="A74" s="28" t="inlineStr">
        <is>
          <t>AZ</t>
        </is>
      </c>
      <c r="B74" s="28" t="inlineStr">
        <is>
          <t>MFJ</t>
        </is>
      </c>
      <c r="C74" s="23">
        <f>A74&amp;"|"&amp;B74</f>
        <v/>
      </c>
      <c r="D74" s="30" t="n">
        <v>0.025</v>
      </c>
      <c r="E74" s="29" t="n">
        <v>0</v>
      </c>
      <c r="F74" s="26">
        <f>H74</f>
        <v/>
      </c>
      <c r="G74" s="30" t="n">
        <v>0</v>
      </c>
      <c r="H74" s="29" t="n">
        <v>999999999</v>
      </c>
      <c r="I74" s="26">
        <f>K74</f>
        <v/>
      </c>
      <c r="J74" s="30" t="n">
        <v>0</v>
      </c>
      <c r="K74" s="29" t="n">
        <v>999999999</v>
      </c>
      <c r="L74" s="26">
        <f>N74</f>
        <v/>
      </c>
      <c r="M74" s="30" t="n">
        <v>0</v>
      </c>
      <c r="N74" s="29" t="n">
        <v>999999999</v>
      </c>
      <c r="O74" s="26">
        <f>Q74</f>
        <v/>
      </c>
      <c r="P74" s="30" t="n">
        <v>0</v>
      </c>
      <c r="Q74" s="29" t="n">
        <v>999999999</v>
      </c>
      <c r="R74" s="26">
        <f>T74</f>
        <v/>
      </c>
      <c r="S74" s="30" t="n">
        <v>0</v>
      </c>
      <c r="T74" s="29" t="n">
        <v>999999999</v>
      </c>
      <c r="U74" s="26">
        <f>W74</f>
        <v/>
      </c>
      <c r="V74" s="30" t="n">
        <v>0</v>
      </c>
      <c r="W74" s="29" t="n">
        <v>999999999</v>
      </c>
      <c r="X74" s="26">
        <f>Z74</f>
        <v/>
      </c>
      <c r="Y74" s="30" t="n">
        <v>0</v>
      </c>
      <c r="Z74" s="29" t="n">
        <v>999999999</v>
      </c>
      <c r="AA74" s="26" t="n">
        <v>999999999</v>
      </c>
    </row>
    <row r="75">
      <c r="A75" s="28" t="inlineStr">
        <is>
          <t>GA</t>
        </is>
      </c>
      <c r="B75" s="28" t="inlineStr">
        <is>
          <t>Single</t>
        </is>
      </c>
      <c r="C75" s="23">
        <f>A75&amp;"|"&amp;B75</f>
        <v/>
      </c>
      <c r="D75" s="30" t="n">
        <v>0.0539</v>
      </c>
      <c r="E75" s="29" t="n">
        <v>0</v>
      </c>
      <c r="F75" s="26">
        <f>H75</f>
        <v/>
      </c>
      <c r="G75" s="30" t="n">
        <v>0</v>
      </c>
      <c r="H75" s="29" t="n">
        <v>999999999</v>
      </c>
      <c r="I75" s="26">
        <f>K75</f>
        <v/>
      </c>
      <c r="J75" s="30" t="n">
        <v>0</v>
      </c>
      <c r="K75" s="29" t="n">
        <v>999999999</v>
      </c>
      <c r="L75" s="26">
        <f>N75</f>
        <v/>
      </c>
      <c r="M75" s="30" t="n">
        <v>0</v>
      </c>
      <c r="N75" s="29" t="n">
        <v>999999999</v>
      </c>
      <c r="O75" s="26">
        <f>Q75</f>
        <v/>
      </c>
      <c r="P75" s="30" t="n">
        <v>0</v>
      </c>
      <c r="Q75" s="29" t="n">
        <v>999999999</v>
      </c>
      <c r="R75" s="26">
        <f>T75</f>
        <v/>
      </c>
      <c r="S75" s="30" t="n">
        <v>0</v>
      </c>
      <c r="T75" s="29" t="n">
        <v>999999999</v>
      </c>
      <c r="U75" s="26">
        <f>W75</f>
        <v/>
      </c>
      <c r="V75" s="30" t="n">
        <v>0</v>
      </c>
      <c r="W75" s="29" t="n">
        <v>999999999</v>
      </c>
      <c r="X75" s="26">
        <f>Z75</f>
        <v/>
      </c>
      <c r="Y75" s="30" t="n">
        <v>0</v>
      </c>
      <c r="Z75" s="29" t="n">
        <v>999999999</v>
      </c>
      <c r="AA75" s="26" t="n">
        <v>999999999</v>
      </c>
    </row>
    <row r="76">
      <c r="A76" s="28" t="inlineStr">
        <is>
          <t>GA</t>
        </is>
      </c>
      <c r="B76" s="28" t="inlineStr">
        <is>
          <t>MFJ</t>
        </is>
      </c>
      <c r="C76" s="23">
        <f>A76&amp;"|"&amp;B76</f>
        <v/>
      </c>
      <c r="D76" s="30" t="n">
        <v>0.0539</v>
      </c>
      <c r="E76" s="29" t="n">
        <v>0</v>
      </c>
      <c r="F76" s="26">
        <f>H76</f>
        <v/>
      </c>
      <c r="G76" s="30" t="n">
        <v>0</v>
      </c>
      <c r="H76" s="29" t="n">
        <v>999999999</v>
      </c>
      <c r="I76" s="26">
        <f>K76</f>
        <v/>
      </c>
      <c r="J76" s="30" t="n">
        <v>0</v>
      </c>
      <c r="K76" s="29" t="n">
        <v>999999999</v>
      </c>
      <c r="L76" s="26">
        <f>N76</f>
        <v/>
      </c>
      <c r="M76" s="30" t="n">
        <v>0</v>
      </c>
      <c r="N76" s="29" t="n">
        <v>999999999</v>
      </c>
      <c r="O76" s="26">
        <f>Q76</f>
        <v/>
      </c>
      <c r="P76" s="30" t="n">
        <v>0</v>
      </c>
      <c r="Q76" s="29" t="n">
        <v>999999999</v>
      </c>
      <c r="R76" s="26">
        <f>T76</f>
        <v/>
      </c>
      <c r="S76" s="30" t="n">
        <v>0</v>
      </c>
      <c r="T76" s="29" t="n">
        <v>999999999</v>
      </c>
      <c r="U76" s="26">
        <f>W76</f>
        <v/>
      </c>
      <c r="V76" s="30" t="n">
        <v>0</v>
      </c>
      <c r="W76" s="29" t="n">
        <v>999999999</v>
      </c>
      <c r="X76" s="26">
        <f>Z76</f>
        <v/>
      </c>
      <c r="Y76" s="30" t="n">
        <v>0</v>
      </c>
      <c r="Z76" s="29" t="n">
        <v>999999999</v>
      </c>
      <c r="AA76" s="26" t="n">
        <v>999999999</v>
      </c>
    </row>
    <row r="77">
      <c r="A77" s="28" t="inlineStr">
        <is>
          <t>MA</t>
        </is>
      </c>
      <c r="B77" s="28" t="inlineStr">
        <is>
          <t>Single</t>
        </is>
      </c>
      <c r="C77" s="23">
        <f>A77&amp;"|"&amp;B77</f>
        <v/>
      </c>
      <c r="D77" s="30" t="n">
        <v>0.05</v>
      </c>
      <c r="E77" s="29" t="n">
        <v>0</v>
      </c>
      <c r="F77" s="26">
        <f>H77</f>
        <v/>
      </c>
      <c r="G77" s="30" t="n">
        <v>0.09</v>
      </c>
      <c r="H77" s="29" t="n">
        <v>1000000</v>
      </c>
      <c r="I77" s="26">
        <f>K77</f>
        <v/>
      </c>
      <c r="J77" s="30" t="n">
        <v>0</v>
      </c>
      <c r="K77" s="29" t="n">
        <v>999999999</v>
      </c>
      <c r="L77" s="26">
        <f>N77</f>
        <v/>
      </c>
      <c r="M77" s="30" t="n">
        <v>0</v>
      </c>
      <c r="N77" s="29" t="n">
        <v>999999999</v>
      </c>
      <c r="O77" s="26">
        <f>Q77</f>
        <v/>
      </c>
      <c r="P77" s="30" t="n">
        <v>0</v>
      </c>
      <c r="Q77" s="29" t="n">
        <v>999999999</v>
      </c>
      <c r="R77" s="26">
        <f>T77</f>
        <v/>
      </c>
      <c r="S77" s="30" t="n">
        <v>0</v>
      </c>
      <c r="T77" s="29" t="n">
        <v>999999999</v>
      </c>
      <c r="U77" s="26">
        <f>W77</f>
        <v/>
      </c>
      <c r="V77" s="30" t="n">
        <v>0</v>
      </c>
      <c r="W77" s="29" t="n">
        <v>999999999</v>
      </c>
      <c r="X77" s="26">
        <f>Z77</f>
        <v/>
      </c>
      <c r="Y77" s="30" t="n">
        <v>0</v>
      </c>
      <c r="Z77" s="29" t="n">
        <v>999999999</v>
      </c>
      <c r="AA77" s="26" t="n">
        <v>999999999</v>
      </c>
    </row>
    <row r="78">
      <c r="A78" s="28" t="inlineStr">
        <is>
          <t>MA</t>
        </is>
      </c>
      <c r="B78" s="28" t="inlineStr">
        <is>
          <t>MFJ</t>
        </is>
      </c>
      <c r="C78" s="23">
        <f>A78&amp;"|"&amp;B78</f>
        <v/>
      </c>
      <c r="D78" s="30" t="n">
        <v>0.05</v>
      </c>
      <c r="E78" s="29" t="n">
        <v>0</v>
      </c>
      <c r="F78" s="26">
        <f>H78</f>
        <v/>
      </c>
      <c r="G78" s="30" t="n">
        <v>0.09</v>
      </c>
      <c r="H78" s="29" t="n">
        <v>1000000</v>
      </c>
      <c r="I78" s="26">
        <f>K78</f>
        <v/>
      </c>
      <c r="J78" s="30" t="n">
        <v>0</v>
      </c>
      <c r="K78" s="29" t="n">
        <v>999999999</v>
      </c>
      <c r="L78" s="26">
        <f>N78</f>
        <v/>
      </c>
      <c r="M78" s="30" t="n">
        <v>0</v>
      </c>
      <c r="N78" s="29" t="n">
        <v>999999999</v>
      </c>
      <c r="O78" s="26">
        <f>Q78</f>
        <v/>
      </c>
      <c r="P78" s="30" t="n">
        <v>0</v>
      </c>
      <c r="Q78" s="29" t="n">
        <v>999999999</v>
      </c>
      <c r="R78" s="26">
        <f>T78</f>
        <v/>
      </c>
      <c r="S78" s="30" t="n">
        <v>0</v>
      </c>
      <c r="T78" s="29" t="n">
        <v>999999999</v>
      </c>
      <c r="U78" s="26">
        <f>W78</f>
        <v/>
      </c>
      <c r="V78" s="30" t="n">
        <v>0</v>
      </c>
      <c r="W78" s="29" t="n">
        <v>999999999</v>
      </c>
      <c r="X78" s="26">
        <f>Z78</f>
        <v/>
      </c>
      <c r="Y78" s="30" t="n">
        <v>0</v>
      </c>
      <c r="Z78" s="29" t="n">
        <v>999999999</v>
      </c>
      <c r="AA78" s="26" t="n">
        <v>999999999</v>
      </c>
    </row>
    <row r="79">
      <c r="A79" s="28" t="inlineStr">
        <is>
          <t>CA</t>
        </is>
      </c>
      <c r="B79" s="28" t="inlineStr">
        <is>
          <t>Single</t>
        </is>
      </c>
      <c r="C79" s="23">
        <f>A79&amp;"|"&amp;B79</f>
        <v/>
      </c>
      <c r="D79" s="30" t="n">
        <v>0.01</v>
      </c>
      <c r="E79" s="29" t="n">
        <v>0</v>
      </c>
      <c r="F79" s="26">
        <f>H79</f>
        <v/>
      </c>
      <c r="G79" s="30" t="n">
        <v>0.02</v>
      </c>
      <c r="H79" s="29" t="n">
        <v>10412</v>
      </c>
      <c r="I79" s="26">
        <f>K79</f>
        <v/>
      </c>
      <c r="J79" s="30" t="n">
        <v>0.04</v>
      </c>
      <c r="K79" s="29" t="n">
        <v>24684</v>
      </c>
      <c r="L79" s="26">
        <f>N79</f>
        <v/>
      </c>
      <c r="M79" s="30" t="n">
        <v>0.06</v>
      </c>
      <c r="N79" s="29" t="n">
        <v>38959</v>
      </c>
      <c r="O79" s="26">
        <f>Q79</f>
        <v/>
      </c>
      <c r="P79" s="30" t="n">
        <v>0.08</v>
      </c>
      <c r="Q79" s="29" t="n">
        <v>54081</v>
      </c>
      <c r="R79" s="26">
        <f>T79</f>
        <v/>
      </c>
      <c r="S79" s="30" t="n">
        <v>0.093</v>
      </c>
      <c r="T79" s="29" t="n">
        <v>68350</v>
      </c>
      <c r="U79" s="26">
        <f>W79</f>
        <v/>
      </c>
      <c r="V79" s="30" t="n">
        <v>0.103</v>
      </c>
      <c r="W79" s="29" t="n">
        <v>349137</v>
      </c>
      <c r="X79" s="26">
        <f>Z79</f>
        <v/>
      </c>
      <c r="Y79" s="30" t="n">
        <v>0.123</v>
      </c>
      <c r="Z79" s="29" t="n">
        <v>418961</v>
      </c>
      <c r="AA79" s="26" t="n">
        <v>999999999</v>
      </c>
    </row>
    <row r="80">
      <c r="A80" s="28" t="inlineStr">
        <is>
          <t>CA</t>
        </is>
      </c>
      <c r="B80" s="28" t="inlineStr">
        <is>
          <t>MFJ</t>
        </is>
      </c>
      <c r="C80" s="23">
        <f>A80&amp;"|"&amp;B80</f>
        <v/>
      </c>
      <c r="D80" s="30" t="n">
        <v>0.01</v>
      </c>
      <c r="E80" s="29" t="n">
        <v>0</v>
      </c>
      <c r="F80" s="26">
        <f>H80</f>
        <v/>
      </c>
      <c r="G80" s="30" t="n">
        <v>0.02</v>
      </c>
      <c r="H80" s="29" t="n">
        <v>20824</v>
      </c>
      <c r="I80" s="26">
        <f>K80</f>
        <v/>
      </c>
      <c r="J80" s="30" t="n">
        <v>0.04</v>
      </c>
      <c r="K80" s="29" t="n">
        <v>49368</v>
      </c>
      <c r="L80" s="26">
        <f>N80</f>
        <v/>
      </c>
      <c r="M80" s="30" t="n">
        <v>0.06</v>
      </c>
      <c r="N80" s="29" t="n">
        <v>77918</v>
      </c>
      <c r="O80" s="26">
        <f>Q80</f>
        <v/>
      </c>
      <c r="P80" s="30" t="n">
        <v>0.08</v>
      </c>
      <c r="Q80" s="29" t="n">
        <v>108162</v>
      </c>
      <c r="R80" s="26">
        <f>T80</f>
        <v/>
      </c>
      <c r="S80" s="30" t="n">
        <v>0.093</v>
      </c>
      <c r="T80" s="29" t="n">
        <v>136700</v>
      </c>
      <c r="U80" s="26">
        <f>W80</f>
        <v/>
      </c>
      <c r="V80" s="30" t="n">
        <v>0.103</v>
      </c>
      <c r="W80" s="29" t="n">
        <v>698274</v>
      </c>
      <c r="X80" s="26">
        <f>Z80</f>
        <v/>
      </c>
      <c r="Y80" s="30" t="n">
        <v>0.123</v>
      </c>
      <c r="Z80" s="29" t="n">
        <v>837922</v>
      </c>
      <c r="AA80" s="26" t="n">
        <v>999999999</v>
      </c>
    </row>
    <row r="81">
      <c r="A81" s="28" t="inlineStr">
        <is>
          <t>NY</t>
        </is>
      </c>
      <c r="B81" s="28" t="inlineStr">
        <is>
          <t>Single</t>
        </is>
      </c>
      <c r="C81" s="23">
        <f>A81&amp;"|"&amp;B81</f>
        <v/>
      </c>
      <c r="D81" s="30" t="n">
        <v>0.04</v>
      </c>
      <c r="E81" s="29" t="n">
        <v>0</v>
      </c>
      <c r="F81" s="26">
        <f>H81</f>
        <v/>
      </c>
      <c r="G81" s="30" t="n">
        <v>0.045</v>
      </c>
      <c r="H81" s="29" t="n">
        <v>8500</v>
      </c>
      <c r="I81" s="26">
        <f>K81</f>
        <v/>
      </c>
      <c r="J81" s="30" t="n">
        <v>0.0525</v>
      </c>
      <c r="K81" s="29" t="n">
        <v>11700</v>
      </c>
      <c r="L81" s="26">
        <f>N81</f>
        <v/>
      </c>
      <c r="M81" s="30" t="n">
        <v>0.055</v>
      </c>
      <c r="N81" s="29" t="n">
        <v>13900</v>
      </c>
      <c r="O81" s="26">
        <f>Q81</f>
        <v/>
      </c>
      <c r="P81" s="30" t="n">
        <v>0.06</v>
      </c>
      <c r="Q81" s="29" t="n">
        <v>80650</v>
      </c>
      <c r="R81" s="26">
        <f>T81</f>
        <v/>
      </c>
      <c r="S81" s="30" t="n">
        <v>0.06850000000000001</v>
      </c>
      <c r="T81" s="29" t="n">
        <v>215400</v>
      </c>
      <c r="U81" s="26">
        <f>W81</f>
        <v/>
      </c>
      <c r="V81" s="30" t="n">
        <v>0.0965</v>
      </c>
      <c r="W81" s="29" t="n">
        <v>1077550</v>
      </c>
      <c r="X81" s="26">
        <f>Z81</f>
        <v/>
      </c>
      <c r="Y81" s="30" t="n">
        <v>0.109</v>
      </c>
      <c r="Z81" s="29" t="n">
        <v>5000000</v>
      </c>
      <c r="AA81" s="26" t="n">
        <v>999999999</v>
      </c>
    </row>
    <row r="82">
      <c r="A82" s="28" t="inlineStr">
        <is>
          <t>NY</t>
        </is>
      </c>
      <c r="B82" s="28" t="inlineStr">
        <is>
          <t>MFJ</t>
        </is>
      </c>
      <c r="C82" s="23">
        <f>A82&amp;"|"&amp;B82</f>
        <v/>
      </c>
      <c r="D82" s="30" t="n">
        <v>0.04</v>
      </c>
      <c r="E82" s="29" t="n">
        <v>0</v>
      </c>
      <c r="F82" s="26">
        <f>H82</f>
        <v/>
      </c>
      <c r="G82" s="30" t="n">
        <v>0.045</v>
      </c>
      <c r="H82" s="29" t="n">
        <v>17150</v>
      </c>
      <c r="I82" s="26">
        <f>K82</f>
        <v/>
      </c>
      <c r="J82" s="30" t="n">
        <v>0.0525</v>
      </c>
      <c r="K82" s="29" t="n">
        <v>23600</v>
      </c>
      <c r="L82" s="26">
        <f>N82</f>
        <v/>
      </c>
      <c r="M82" s="30" t="n">
        <v>0.055</v>
      </c>
      <c r="N82" s="29" t="n">
        <v>27900</v>
      </c>
      <c r="O82" s="26">
        <f>Q82</f>
        <v/>
      </c>
      <c r="P82" s="30" t="n">
        <v>0.06</v>
      </c>
      <c r="Q82" s="29" t="n">
        <v>161550</v>
      </c>
      <c r="R82" s="26">
        <f>T82</f>
        <v/>
      </c>
      <c r="S82" s="30" t="n">
        <v>0.06850000000000001</v>
      </c>
      <c r="T82" s="29" t="n">
        <v>323200</v>
      </c>
      <c r="U82" s="26">
        <f>W82</f>
        <v/>
      </c>
      <c r="V82" s="30" t="n">
        <v>0.0965</v>
      </c>
      <c r="W82" s="29" t="n">
        <v>2155350</v>
      </c>
      <c r="X82" s="26">
        <f>Z82</f>
        <v/>
      </c>
      <c r="Y82" s="30" t="n">
        <v>0.109</v>
      </c>
      <c r="Z82" s="29" t="n">
        <v>5000000</v>
      </c>
      <c r="AA82" s="26" t="n">
        <v>999999999</v>
      </c>
    </row>
    <row r="83">
      <c r="A83" s="28" t="inlineStr">
        <is>
          <t>NJ</t>
        </is>
      </c>
      <c r="B83" s="28" t="inlineStr">
        <is>
          <t>Single</t>
        </is>
      </c>
      <c r="C83" s="23">
        <f>A83&amp;"|"&amp;B83</f>
        <v/>
      </c>
      <c r="D83" s="30" t="n">
        <v>0.014</v>
      </c>
      <c r="E83" s="29" t="n">
        <v>0</v>
      </c>
      <c r="F83" s="26">
        <f>H83</f>
        <v/>
      </c>
      <c r="G83" s="30" t="n">
        <v>0.0175</v>
      </c>
      <c r="H83" s="29" t="n">
        <v>20000</v>
      </c>
      <c r="I83" s="26">
        <f>K83</f>
        <v/>
      </c>
      <c r="J83" s="30" t="n">
        <v>0.035</v>
      </c>
      <c r="K83" s="29" t="n">
        <v>35000</v>
      </c>
      <c r="L83" s="26">
        <f>N83</f>
        <v/>
      </c>
      <c r="M83" s="30" t="n">
        <v>0.05525</v>
      </c>
      <c r="N83" s="29" t="n">
        <v>40000</v>
      </c>
      <c r="O83" s="26">
        <f>Q83</f>
        <v/>
      </c>
      <c r="P83" s="30" t="n">
        <v>0.06370000000000001</v>
      </c>
      <c r="Q83" s="29" t="n">
        <v>75000</v>
      </c>
      <c r="R83" s="26">
        <f>T83</f>
        <v/>
      </c>
      <c r="S83" s="30" t="n">
        <v>0.0897</v>
      </c>
      <c r="T83" s="29" t="n">
        <v>500000</v>
      </c>
      <c r="U83" s="26">
        <f>W83</f>
        <v/>
      </c>
      <c r="V83" s="30" t="n">
        <v>0.1075</v>
      </c>
      <c r="W83" s="29" t="n">
        <v>1000000</v>
      </c>
      <c r="X83" s="26">
        <f>Z83</f>
        <v/>
      </c>
      <c r="Y83" s="30" t="n">
        <v>0</v>
      </c>
      <c r="Z83" s="29" t="n">
        <v>999999999</v>
      </c>
      <c r="AA83" s="26" t="n">
        <v>999999999</v>
      </c>
    </row>
    <row r="84">
      <c r="A84" s="28" t="inlineStr">
        <is>
          <t>NJ</t>
        </is>
      </c>
      <c r="B84" s="28" t="inlineStr">
        <is>
          <t>MFJ</t>
        </is>
      </c>
      <c r="C84" s="23">
        <f>A84&amp;"|"&amp;B84</f>
        <v/>
      </c>
      <c r="D84" s="30" t="n">
        <v>0.014</v>
      </c>
      <c r="E84" s="29" t="n">
        <v>0</v>
      </c>
      <c r="F84" s="26">
        <f>H84</f>
        <v/>
      </c>
      <c r="G84" s="30" t="n">
        <v>0.0175</v>
      </c>
      <c r="H84" s="29" t="n">
        <v>20000</v>
      </c>
      <c r="I84" s="26">
        <f>K84</f>
        <v/>
      </c>
      <c r="J84" s="30" t="n">
        <v>0.0245</v>
      </c>
      <c r="K84" s="29" t="n">
        <v>50000</v>
      </c>
      <c r="L84" s="26">
        <f>N84</f>
        <v/>
      </c>
      <c r="M84" s="30" t="n">
        <v>0.035</v>
      </c>
      <c r="N84" s="29" t="n">
        <v>70000</v>
      </c>
      <c r="O84" s="26">
        <f>Q84</f>
        <v/>
      </c>
      <c r="P84" s="30" t="n">
        <v>0.05525</v>
      </c>
      <c r="Q84" s="29" t="n">
        <v>80000</v>
      </c>
      <c r="R84" s="26">
        <f>T84</f>
        <v/>
      </c>
      <c r="S84" s="30" t="n">
        <v>0.06370000000000001</v>
      </c>
      <c r="T84" s="29" t="n">
        <v>150000</v>
      </c>
      <c r="U84" s="26">
        <f>W84</f>
        <v/>
      </c>
      <c r="V84" s="30" t="n">
        <v>0.0897</v>
      </c>
      <c r="W84" s="29" t="n">
        <v>500000</v>
      </c>
      <c r="X84" s="26">
        <f>Z84</f>
        <v/>
      </c>
      <c r="Y84" s="30" t="n">
        <v>0.1075</v>
      </c>
      <c r="Z84" s="29" t="n">
        <v>1000000</v>
      </c>
      <c r="AA84" s="26" t="n">
        <v>999999999</v>
      </c>
    </row>
    <row r="85">
      <c r="A85" s="28" t="inlineStr">
        <is>
          <t>OR</t>
        </is>
      </c>
      <c r="B85" s="28" t="inlineStr">
        <is>
          <t>Single</t>
        </is>
      </c>
      <c r="C85" s="23">
        <f>A85&amp;"|"&amp;B85</f>
        <v/>
      </c>
      <c r="D85" s="30" t="n">
        <v>0.0475</v>
      </c>
      <c r="E85" s="29" t="n">
        <v>0</v>
      </c>
      <c r="F85" s="26">
        <f>H85</f>
        <v/>
      </c>
      <c r="G85" s="30" t="n">
        <v>0.0675</v>
      </c>
      <c r="H85" s="29" t="n">
        <v>4300</v>
      </c>
      <c r="I85" s="26">
        <f>K85</f>
        <v/>
      </c>
      <c r="J85" s="30" t="n">
        <v>0.08749999999999999</v>
      </c>
      <c r="K85" s="29" t="n">
        <v>10750</v>
      </c>
      <c r="L85" s="26">
        <f>N85</f>
        <v/>
      </c>
      <c r="M85" s="30" t="n">
        <v>0.099</v>
      </c>
      <c r="N85" s="29" t="n">
        <v>125000</v>
      </c>
      <c r="O85" s="26">
        <f>Q85</f>
        <v/>
      </c>
      <c r="P85" s="30" t="n">
        <v>0</v>
      </c>
      <c r="Q85" s="29" t="n">
        <v>999999999</v>
      </c>
      <c r="R85" s="26">
        <f>T85</f>
        <v/>
      </c>
      <c r="S85" s="30" t="n">
        <v>0</v>
      </c>
      <c r="T85" s="29" t="n">
        <v>999999999</v>
      </c>
      <c r="U85" s="26">
        <f>W85</f>
        <v/>
      </c>
      <c r="V85" s="30" t="n">
        <v>0</v>
      </c>
      <c r="W85" s="29" t="n">
        <v>999999999</v>
      </c>
      <c r="X85" s="26">
        <f>Z85</f>
        <v/>
      </c>
      <c r="Y85" s="30" t="n">
        <v>0</v>
      </c>
      <c r="Z85" s="29" t="n">
        <v>999999999</v>
      </c>
      <c r="AA85" s="26" t="n">
        <v>999999999</v>
      </c>
    </row>
    <row r="86">
      <c r="A86" s="28" t="inlineStr">
        <is>
          <t>OR</t>
        </is>
      </c>
      <c r="B86" s="28" t="inlineStr">
        <is>
          <t>MFJ</t>
        </is>
      </c>
      <c r="C86" s="23">
        <f>A86&amp;"|"&amp;B86</f>
        <v/>
      </c>
      <c r="D86" s="30" t="n">
        <v>0.0475</v>
      </c>
      <c r="E86" s="29" t="n">
        <v>0</v>
      </c>
      <c r="F86" s="26">
        <f>H86</f>
        <v/>
      </c>
      <c r="G86" s="30" t="n">
        <v>0.0675</v>
      </c>
      <c r="H86" s="29" t="n">
        <v>8600</v>
      </c>
      <c r="I86" s="26">
        <f>K86</f>
        <v/>
      </c>
      <c r="J86" s="30" t="n">
        <v>0.08749999999999999</v>
      </c>
      <c r="K86" s="29" t="n">
        <v>21500</v>
      </c>
      <c r="L86" s="26">
        <f>N86</f>
        <v/>
      </c>
      <c r="M86" s="30" t="n">
        <v>0.099</v>
      </c>
      <c r="N86" s="29" t="n">
        <v>250000</v>
      </c>
      <c r="O86" s="26">
        <f>Q86</f>
        <v/>
      </c>
      <c r="P86" s="30" t="n">
        <v>0</v>
      </c>
      <c r="Q86" s="29" t="n">
        <v>999999999</v>
      </c>
      <c r="R86" s="26">
        <f>T86</f>
        <v/>
      </c>
      <c r="S86" s="30" t="n">
        <v>0</v>
      </c>
      <c r="T86" s="29" t="n">
        <v>999999999</v>
      </c>
      <c r="U86" s="26">
        <f>W86</f>
        <v/>
      </c>
      <c r="V86" s="30" t="n">
        <v>0</v>
      </c>
      <c r="W86" s="29" t="n">
        <v>999999999</v>
      </c>
      <c r="X86" s="26">
        <f>Z86</f>
        <v/>
      </c>
      <c r="Y86" s="30" t="n">
        <v>0</v>
      </c>
      <c r="Z86" s="29" t="n">
        <v>999999999</v>
      </c>
      <c r="AA86" s="26" t="n">
        <v>999999999</v>
      </c>
    </row>
    <row r="87">
      <c r="A87" s="28" t="inlineStr">
        <is>
          <t>MN</t>
        </is>
      </c>
      <c r="B87" s="28" t="inlineStr">
        <is>
          <t>Single</t>
        </is>
      </c>
      <c r="C87" s="23">
        <f>A87&amp;"|"&amp;B87</f>
        <v/>
      </c>
      <c r="D87" s="30" t="n">
        <v>0.0535</v>
      </c>
      <c r="E87" s="29" t="n">
        <v>0</v>
      </c>
      <c r="F87" s="26">
        <f>H87</f>
        <v/>
      </c>
      <c r="G87" s="30" t="n">
        <v>0.068</v>
      </c>
      <c r="H87" s="29" t="n">
        <v>31690</v>
      </c>
      <c r="I87" s="26">
        <f>K87</f>
        <v/>
      </c>
      <c r="J87" s="30" t="n">
        <v>0.0785</v>
      </c>
      <c r="K87" s="29" t="n">
        <v>104090</v>
      </c>
      <c r="L87" s="26">
        <f>N87</f>
        <v/>
      </c>
      <c r="M87" s="30" t="n">
        <v>0.0985</v>
      </c>
      <c r="N87" s="29" t="n">
        <v>193240</v>
      </c>
      <c r="O87" s="26">
        <f>Q87</f>
        <v/>
      </c>
      <c r="P87" s="30" t="n">
        <v>0</v>
      </c>
      <c r="Q87" s="29" t="n">
        <v>999999999</v>
      </c>
      <c r="R87" s="26">
        <f>T87</f>
        <v/>
      </c>
      <c r="S87" s="30" t="n">
        <v>0</v>
      </c>
      <c r="T87" s="29" t="n">
        <v>999999999</v>
      </c>
      <c r="U87" s="26">
        <f>W87</f>
        <v/>
      </c>
      <c r="V87" s="30" t="n">
        <v>0</v>
      </c>
      <c r="W87" s="29" t="n">
        <v>999999999</v>
      </c>
      <c r="X87" s="26">
        <f>Z87</f>
        <v/>
      </c>
      <c r="Y87" s="30" t="n">
        <v>0</v>
      </c>
      <c r="Z87" s="29" t="n">
        <v>999999999</v>
      </c>
      <c r="AA87" s="26" t="n">
        <v>999999999</v>
      </c>
    </row>
    <row r="88">
      <c r="A88" s="28" t="inlineStr">
        <is>
          <t>MN</t>
        </is>
      </c>
      <c r="B88" s="28" t="inlineStr">
        <is>
          <t>MFJ</t>
        </is>
      </c>
      <c r="C88" s="23">
        <f>A88&amp;"|"&amp;B88</f>
        <v/>
      </c>
      <c r="D88" s="30" t="n">
        <v>0.0535</v>
      </c>
      <c r="E88" s="29" t="n">
        <v>0</v>
      </c>
      <c r="F88" s="26">
        <f>H88</f>
        <v/>
      </c>
      <c r="G88" s="30" t="n">
        <v>0.068</v>
      </c>
      <c r="H88" s="29" t="n">
        <v>46330</v>
      </c>
      <c r="I88" s="26">
        <f>K88</f>
        <v/>
      </c>
      <c r="J88" s="30" t="n">
        <v>0.0785</v>
      </c>
      <c r="K88" s="29" t="n">
        <v>184040</v>
      </c>
      <c r="L88" s="26">
        <f>N88</f>
        <v/>
      </c>
      <c r="M88" s="30" t="n">
        <v>0.0985</v>
      </c>
      <c r="N88" s="29" t="n">
        <v>321450</v>
      </c>
      <c r="O88" s="26">
        <f>Q88</f>
        <v/>
      </c>
      <c r="P88" s="30" t="n">
        <v>0</v>
      </c>
      <c r="Q88" s="29" t="n">
        <v>999999999</v>
      </c>
      <c r="R88" s="26">
        <f>T88</f>
        <v/>
      </c>
      <c r="S88" s="30" t="n">
        <v>0</v>
      </c>
      <c r="T88" s="29" t="n">
        <v>999999999</v>
      </c>
      <c r="U88" s="26">
        <f>W88</f>
        <v/>
      </c>
      <c r="V88" s="30" t="n">
        <v>0</v>
      </c>
      <c r="W88" s="29" t="n">
        <v>999999999</v>
      </c>
      <c r="X88" s="26">
        <f>Z88</f>
        <v/>
      </c>
      <c r="Y88" s="30" t="n">
        <v>0</v>
      </c>
      <c r="Z88" s="29" t="n">
        <v>999999999</v>
      </c>
      <c r="AA88" s="26" t="n">
        <v>999999999</v>
      </c>
    </row>
    <row r="89">
      <c r="A89" s="28" t="inlineStr">
        <is>
          <t>HI</t>
        </is>
      </c>
      <c r="B89" s="28" t="inlineStr">
        <is>
          <t>Single</t>
        </is>
      </c>
      <c r="C89" s="23">
        <f>A89&amp;"|"&amp;B89</f>
        <v/>
      </c>
      <c r="D89" s="30" t="n">
        <v>0.014</v>
      </c>
      <c r="E89" s="29" t="n">
        <v>0</v>
      </c>
      <c r="F89" s="26">
        <f>H89</f>
        <v/>
      </c>
      <c r="G89" s="30" t="n">
        <v>0.04</v>
      </c>
      <c r="H89" s="29" t="n">
        <v>9600</v>
      </c>
      <c r="I89" s="26">
        <f>K89</f>
        <v/>
      </c>
      <c r="J89" s="30" t="n">
        <v>0.064</v>
      </c>
      <c r="K89" s="29" t="n">
        <v>24000</v>
      </c>
      <c r="L89" s="26">
        <f>N89</f>
        <v/>
      </c>
      <c r="M89" s="30" t="n">
        <v>0.076</v>
      </c>
      <c r="N89" s="29" t="n">
        <v>125000</v>
      </c>
      <c r="O89" s="26">
        <f>Q89</f>
        <v/>
      </c>
      <c r="P89" s="30" t="n">
        <v>0.08749999999999999</v>
      </c>
      <c r="Q89" s="29" t="n">
        <v>225000</v>
      </c>
      <c r="R89" s="26">
        <f>T89</f>
        <v/>
      </c>
      <c r="S89" s="30" t="n">
        <v>0.1</v>
      </c>
      <c r="T89" s="29" t="n">
        <v>350000</v>
      </c>
      <c r="U89" s="26">
        <f>W89</f>
        <v/>
      </c>
      <c r="V89" s="30" t="n">
        <v>0.11</v>
      </c>
      <c r="W89" s="29" t="n">
        <v>450000</v>
      </c>
      <c r="X89" s="26">
        <f>Z89</f>
        <v/>
      </c>
      <c r="Y89" s="30" t="n">
        <v>0</v>
      </c>
      <c r="Z89" s="29" t="n">
        <v>999999999</v>
      </c>
      <c r="AA89" s="26" t="n">
        <v>999999999</v>
      </c>
    </row>
    <row r="90">
      <c r="A90" s="28" t="inlineStr">
        <is>
          <t>HI</t>
        </is>
      </c>
      <c r="B90" s="28" t="inlineStr">
        <is>
          <t>MFJ</t>
        </is>
      </c>
      <c r="C90" s="23">
        <f>A90&amp;"|"&amp;B90</f>
        <v/>
      </c>
      <c r="D90" s="30" t="n">
        <v>0.014</v>
      </c>
      <c r="E90" s="29" t="n">
        <v>0</v>
      </c>
      <c r="F90" s="26">
        <f>H90</f>
        <v/>
      </c>
      <c r="G90" s="30" t="n">
        <v>0.04</v>
      </c>
      <c r="H90" s="29" t="n">
        <v>19200</v>
      </c>
      <c r="I90" s="26">
        <f>K90</f>
        <v/>
      </c>
      <c r="J90" s="30" t="n">
        <v>0.064</v>
      </c>
      <c r="K90" s="29" t="n">
        <v>48000</v>
      </c>
      <c r="L90" s="26">
        <f>N90</f>
        <v/>
      </c>
      <c r="M90" s="30" t="n">
        <v>0.076</v>
      </c>
      <c r="N90" s="29" t="n">
        <v>250000</v>
      </c>
      <c r="O90" s="26">
        <f>Q90</f>
        <v/>
      </c>
      <c r="P90" s="30" t="n">
        <v>0.08749999999999999</v>
      </c>
      <c r="Q90" s="29" t="n">
        <v>450000</v>
      </c>
      <c r="R90" s="26">
        <f>T90</f>
        <v/>
      </c>
      <c r="S90" s="30" t="n">
        <v>0.1</v>
      </c>
      <c r="T90" s="29" t="n">
        <v>700000</v>
      </c>
      <c r="U90" s="26">
        <f>W90</f>
        <v/>
      </c>
      <c r="V90" s="30" t="n">
        <v>0.11</v>
      </c>
      <c r="W90" s="29" t="n">
        <v>900000</v>
      </c>
      <c r="X90" s="26">
        <f>Z90</f>
        <v/>
      </c>
      <c r="Y90" s="30" t="n">
        <v>0</v>
      </c>
      <c r="Z90" s="29" t="n">
        <v>999999999</v>
      </c>
      <c r="AA90" s="26" t="n">
        <v>999999999</v>
      </c>
    </row>
    <row r="91">
      <c r="A91" s="28" t="inlineStr">
        <is>
          <t>VA</t>
        </is>
      </c>
      <c r="B91" s="28" t="inlineStr">
        <is>
          <t>Single</t>
        </is>
      </c>
      <c r="C91" s="23">
        <f>A91&amp;"|"&amp;B91</f>
        <v/>
      </c>
      <c r="D91" s="30" t="n">
        <v>0.02</v>
      </c>
      <c r="E91" s="29" t="n">
        <v>0</v>
      </c>
      <c r="F91" s="26">
        <f>H91</f>
        <v/>
      </c>
      <c r="G91" s="30" t="n">
        <v>0.03</v>
      </c>
      <c r="H91" s="29" t="n">
        <v>3000</v>
      </c>
      <c r="I91" s="26">
        <f>K91</f>
        <v/>
      </c>
      <c r="J91" s="30" t="n">
        <v>0.05</v>
      </c>
      <c r="K91" s="29" t="n">
        <v>5000</v>
      </c>
      <c r="L91" s="26">
        <f>N91</f>
        <v/>
      </c>
      <c r="M91" s="30" t="n">
        <v>0.0575</v>
      </c>
      <c r="N91" s="29" t="n">
        <v>17000</v>
      </c>
      <c r="O91" s="26">
        <f>Q91</f>
        <v/>
      </c>
      <c r="P91" s="30" t="n">
        <v>0</v>
      </c>
      <c r="Q91" s="29" t="n">
        <v>999999999</v>
      </c>
      <c r="R91" s="26">
        <f>T91</f>
        <v/>
      </c>
      <c r="S91" s="30" t="n">
        <v>0</v>
      </c>
      <c r="T91" s="29" t="n">
        <v>999999999</v>
      </c>
      <c r="U91" s="26">
        <f>W91</f>
        <v/>
      </c>
      <c r="V91" s="30" t="n">
        <v>0</v>
      </c>
      <c r="W91" s="29" t="n">
        <v>999999999</v>
      </c>
      <c r="X91" s="26">
        <f>Z91</f>
        <v/>
      </c>
      <c r="Y91" s="30" t="n">
        <v>0</v>
      </c>
      <c r="Z91" s="29" t="n">
        <v>999999999</v>
      </c>
      <c r="AA91" s="26" t="n">
        <v>999999999</v>
      </c>
    </row>
    <row r="92">
      <c r="A92" s="28" t="inlineStr">
        <is>
          <t>VA</t>
        </is>
      </c>
      <c r="B92" s="28" t="inlineStr">
        <is>
          <t>MFJ</t>
        </is>
      </c>
      <c r="C92" s="23">
        <f>A92&amp;"|"&amp;B92</f>
        <v/>
      </c>
      <c r="D92" s="30" t="n">
        <v>0.02</v>
      </c>
      <c r="E92" s="29" t="n">
        <v>0</v>
      </c>
      <c r="F92" s="26">
        <f>H92</f>
        <v/>
      </c>
      <c r="G92" s="30" t="n">
        <v>0.03</v>
      </c>
      <c r="H92" s="29" t="n">
        <v>3000</v>
      </c>
      <c r="I92" s="26">
        <f>K92</f>
        <v/>
      </c>
      <c r="J92" s="30" t="n">
        <v>0.05</v>
      </c>
      <c r="K92" s="29" t="n">
        <v>5000</v>
      </c>
      <c r="L92" s="26">
        <f>N92</f>
        <v/>
      </c>
      <c r="M92" s="30" t="n">
        <v>0.0575</v>
      </c>
      <c r="N92" s="29" t="n">
        <v>17000</v>
      </c>
      <c r="O92" s="26">
        <f>Q92</f>
        <v/>
      </c>
      <c r="P92" s="30" t="n">
        <v>0</v>
      </c>
      <c r="Q92" s="29" t="n">
        <v>999999999</v>
      </c>
      <c r="R92" s="26">
        <f>T92</f>
        <v/>
      </c>
      <c r="S92" s="30" t="n">
        <v>0</v>
      </c>
      <c r="T92" s="29" t="n">
        <v>999999999</v>
      </c>
      <c r="U92" s="26">
        <f>W92</f>
        <v/>
      </c>
      <c r="V92" s="30" t="n">
        <v>0</v>
      </c>
      <c r="W92" s="29" t="n">
        <v>999999999</v>
      </c>
      <c r="X92" s="26">
        <f>Z92</f>
        <v/>
      </c>
      <c r="Y92" s="30" t="n">
        <v>0</v>
      </c>
      <c r="Z92" s="29" t="n">
        <v>999999999</v>
      </c>
      <c r="AA92" s="26" t="n">
        <v>999999999</v>
      </c>
    </row>
    <row r="93">
      <c r="A93" s="28" t="inlineStr">
        <is>
          <t>SC</t>
        </is>
      </c>
      <c r="B93" s="28" t="inlineStr">
        <is>
          <t>Single</t>
        </is>
      </c>
      <c r="C93" s="23">
        <f>A93&amp;"|"&amp;B93</f>
        <v/>
      </c>
      <c r="D93" s="30" t="n">
        <v>0</v>
      </c>
      <c r="E93" s="29" t="n">
        <v>0</v>
      </c>
      <c r="F93" s="26">
        <f>H93</f>
        <v/>
      </c>
      <c r="G93" s="30" t="n">
        <v>0.03</v>
      </c>
      <c r="H93" s="29" t="n">
        <v>3200</v>
      </c>
      <c r="I93" s="26">
        <f>K93</f>
        <v/>
      </c>
      <c r="J93" s="30" t="n">
        <v>0.062</v>
      </c>
      <c r="K93" s="29" t="n">
        <v>16040</v>
      </c>
      <c r="L93" s="26">
        <f>N93</f>
        <v/>
      </c>
      <c r="M93" s="30" t="n">
        <v>0</v>
      </c>
      <c r="N93" s="29" t="n">
        <v>999999999</v>
      </c>
      <c r="O93" s="26">
        <f>Q93</f>
        <v/>
      </c>
      <c r="P93" s="30" t="n">
        <v>0</v>
      </c>
      <c r="Q93" s="29" t="n">
        <v>999999999</v>
      </c>
      <c r="R93" s="26">
        <f>T93</f>
        <v/>
      </c>
      <c r="S93" s="30" t="n">
        <v>0</v>
      </c>
      <c r="T93" s="29" t="n">
        <v>999999999</v>
      </c>
      <c r="U93" s="26">
        <f>W93</f>
        <v/>
      </c>
      <c r="V93" s="30" t="n">
        <v>0</v>
      </c>
      <c r="W93" s="29" t="n">
        <v>999999999</v>
      </c>
      <c r="X93" s="26">
        <f>Z93</f>
        <v/>
      </c>
      <c r="Y93" s="30" t="n">
        <v>0</v>
      </c>
      <c r="Z93" s="29" t="n">
        <v>999999999</v>
      </c>
      <c r="AA93" s="26" t="n">
        <v>999999999</v>
      </c>
    </row>
    <row r="94">
      <c r="A94" s="28" t="inlineStr">
        <is>
          <t>SC</t>
        </is>
      </c>
      <c r="B94" s="28" t="inlineStr">
        <is>
          <t>MFJ</t>
        </is>
      </c>
      <c r="C94" s="23">
        <f>A94&amp;"|"&amp;B94</f>
        <v/>
      </c>
      <c r="D94" s="30" t="n">
        <v>0</v>
      </c>
      <c r="E94" s="29" t="n">
        <v>0</v>
      </c>
      <c r="F94" s="26">
        <f>H94</f>
        <v/>
      </c>
      <c r="G94" s="30" t="n">
        <v>0.03</v>
      </c>
      <c r="H94" s="29" t="n">
        <v>3200</v>
      </c>
      <c r="I94" s="26">
        <f>K94</f>
        <v/>
      </c>
      <c r="J94" s="30" t="n">
        <v>0.062</v>
      </c>
      <c r="K94" s="29" t="n">
        <v>16040</v>
      </c>
      <c r="L94" s="26">
        <f>N94</f>
        <v/>
      </c>
      <c r="M94" s="30" t="n">
        <v>0</v>
      </c>
      <c r="N94" s="29" t="n">
        <v>999999999</v>
      </c>
      <c r="O94" s="26">
        <f>Q94</f>
        <v/>
      </c>
      <c r="P94" s="30" t="n">
        <v>0</v>
      </c>
      <c r="Q94" s="29" t="n">
        <v>999999999</v>
      </c>
      <c r="R94" s="26">
        <f>T94</f>
        <v/>
      </c>
      <c r="S94" s="30" t="n">
        <v>0</v>
      </c>
      <c r="T94" s="29" t="n">
        <v>999999999</v>
      </c>
      <c r="U94" s="26">
        <f>W94</f>
        <v/>
      </c>
      <c r="V94" s="30" t="n">
        <v>0</v>
      </c>
      <c r="W94" s="29" t="n">
        <v>999999999</v>
      </c>
      <c r="X94" s="26">
        <f>Z94</f>
        <v/>
      </c>
      <c r="Y94" s="30" t="n">
        <v>0</v>
      </c>
      <c r="Z94" s="29" t="n">
        <v>999999999</v>
      </c>
      <c r="AA94" s="26" t="n">
        <v>999999999</v>
      </c>
    </row>
    <row r="95">
      <c r="A95" s="28" t="inlineStr">
        <is>
          <t>MD</t>
        </is>
      </c>
      <c r="B95" s="28" t="inlineStr">
        <is>
          <t>Single</t>
        </is>
      </c>
      <c r="C95" s="23">
        <f>A95&amp;"|"&amp;B95</f>
        <v/>
      </c>
      <c r="D95" s="30" t="n">
        <v>0.02</v>
      </c>
      <c r="E95" s="29" t="n">
        <v>0</v>
      </c>
      <c r="F95" s="26">
        <f>H95</f>
        <v/>
      </c>
      <c r="G95" s="30" t="n">
        <v>0.03</v>
      </c>
      <c r="H95" s="29" t="n">
        <v>1000</v>
      </c>
      <c r="I95" s="26">
        <f>K95</f>
        <v/>
      </c>
      <c r="J95" s="30" t="n">
        <v>0.04</v>
      </c>
      <c r="K95" s="29" t="n">
        <v>2000</v>
      </c>
      <c r="L95" s="26">
        <f>N95</f>
        <v/>
      </c>
      <c r="M95" s="30" t="n">
        <v>0.0475</v>
      </c>
      <c r="N95" s="29" t="n">
        <v>3000</v>
      </c>
      <c r="O95" s="26">
        <f>Q95</f>
        <v/>
      </c>
      <c r="P95" s="30" t="n">
        <v>0.05</v>
      </c>
      <c r="Q95" s="29" t="n">
        <v>100000</v>
      </c>
      <c r="R95" s="26">
        <f>T95</f>
        <v/>
      </c>
      <c r="S95" s="30" t="n">
        <v>0.0525</v>
      </c>
      <c r="T95" s="29" t="n">
        <v>125000</v>
      </c>
      <c r="U95" s="26">
        <f>W95</f>
        <v/>
      </c>
      <c r="V95" s="30" t="n">
        <v>0.055</v>
      </c>
      <c r="W95" s="29" t="n">
        <v>150000</v>
      </c>
      <c r="X95" s="26">
        <f>Z95</f>
        <v/>
      </c>
      <c r="Y95" s="30" t="n">
        <v>0.0575</v>
      </c>
      <c r="Z95" s="29" t="n">
        <v>250000</v>
      </c>
      <c r="AA95" s="26" t="n">
        <v>999999999</v>
      </c>
    </row>
    <row r="96">
      <c r="A96" s="28" t="inlineStr">
        <is>
          <t>MD</t>
        </is>
      </c>
      <c r="B96" s="28" t="inlineStr">
        <is>
          <t>MFJ</t>
        </is>
      </c>
      <c r="C96" s="23">
        <f>A96&amp;"|"&amp;B96</f>
        <v/>
      </c>
      <c r="D96" s="30" t="n">
        <v>0.02</v>
      </c>
      <c r="E96" s="29" t="n">
        <v>0</v>
      </c>
      <c r="F96" s="26">
        <f>H96</f>
        <v/>
      </c>
      <c r="G96" s="30" t="n">
        <v>0.03</v>
      </c>
      <c r="H96" s="29" t="n">
        <v>1000</v>
      </c>
      <c r="I96" s="26">
        <f>K96</f>
        <v/>
      </c>
      <c r="J96" s="30" t="n">
        <v>0.04</v>
      </c>
      <c r="K96" s="29" t="n">
        <v>2000</v>
      </c>
      <c r="L96" s="26">
        <f>N96</f>
        <v/>
      </c>
      <c r="M96" s="30" t="n">
        <v>0.0475</v>
      </c>
      <c r="N96" s="29" t="n">
        <v>3000</v>
      </c>
      <c r="O96" s="26">
        <f>Q96</f>
        <v/>
      </c>
      <c r="P96" s="30" t="n">
        <v>0.05</v>
      </c>
      <c r="Q96" s="29" t="n">
        <v>150000</v>
      </c>
      <c r="R96" s="26">
        <f>T96</f>
        <v/>
      </c>
      <c r="S96" s="30" t="n">
        <v>0.0525</v>
      </c>
      <c r="T96" s="29" t="n">
        <v>175000</v>
      </c>
      <c r="U96" s="26">
        <f>W96</f>
        <v/>
      </c>
      <c r="V96" s="30" t="n">
        <v>0.055</v>
      </c>
      <c r="W96" s="29" t="n">
        <v>225000</v>
      </c>
      <c r="X96" s="26">
        <f>Z96</f>
        <v/>
      </c>
      <c r="Y96" s="30" t="n">
        <v>0.0575</v>
      </c>
      <c r="Z96" s="29" t="n">
        <v>300000</v>
      </c>
      <c r="AA96" s="26" t="n">
        <v>999999999</v>
      </c>
    </row>
    <row r="97">
      <c r="A97" s="28" t="inlineStr">
        <is>
          <t>WI</t>
        </is>
      </c>
      <c r="B97" s="28" t="inlineStr">
        <is>
          <t>Single</t>
        </is>
      </c>
      <c r="C97" s="23">
        <f>A97&amp;"|"&amp;B97</f>
        <v/>
      </c>
      <c r="D97" s="30" t="n">
        <v>0.035</v>
      </c>
      <c r="E97" s="29" t="n">
        <v>0</v>
      </c>
      <c r="F97" s="26">
        <f>H97</f>
        <v/>
      </c>
      <c r="G97" s="30" t="n">
        <v>0.044</v>
      </c>
      <c r="H97" s="29" t="n">
        <v>14320</v>
      </c>
      <c r="I97" s="26">
        <f>K97</f>
        <v/>
      </c>
      <c r="J97" s="30" t="n">
        <v>0.053</v>
      </c>
      <c r="K97" s="29" t="n">
        <v>28640</v>
      </c>
      <c r="L97" s="26">
        <f>N97</f>
        <v/>
      </c>
      <c r="M97" s="30" t="n">
        <v>0.0765</v>
      </c>
      <c r="N97" s="29" t="n">
        <v>315310</v>
      </c>
      <c r="O97" s="26">
        <f>Q97</f>
        <v/>
      </c>
      <c r="P97" s="30" t="n">
        <v>0</v>
      </c>
      <c r="Q97" s="29" t="n">
        <v>999999999</v>
      </c>
      <c r="R97" s="26">
        <f>T97</f>
        <v/>
      </c>
      <c r="S97" s="30" t="n">
        <v>0</v>
      </c>
      <c r="T97" s="29" t="n">
        <v>999999999</v>
      </c>
      <c r="U97" s="26">
        <f>W97</f>
        <v/>
      </c>
      <c r="V97" s="30" t="n">
        <v>0</v>
      </c>
      <c r="W97" s="29" t="n">
        <v>999999999</v>
      </c>
      <c r="X97" s="26">
        <f>Z97</f>
        <v/>
      </c>
      <c r="Y97" s="30" t="n">
        <v>0</v>
      </c>
      <c r="Z97" s="29" t="n">
        <v>999999999</v>
      </c>
      <c r="AA97" s="26" t="n">
        <v>999999999</v>
      </c>
    </row>
    <row r="98">
      <c r="A98" s="28" t="inlineStr">
        <is>
          <t>WI</t>
        </is>
      </c>
      <c r="B98" s="28" t="inlineStr">
        <is>
          <t>MFJ</t>
        </is>
      </c>
      <c r="C98" s="23">
        <f>A98&amp;"|"&amp;B98</f>
        <v/>
      </c>
      <c r="D98" s="30" t="n">
        <v>0.035</v>
      </c>
      <c r="E98" s="29" t="n">
        <v>0</v>
      </c>
      <c r="F98" s="26">
        <f>H98</f>
        <v/>
      </c>
      <c r="G98" s="30" t="n">
        <v>0.044</v>
      </c>
      <c r="H98" s="29" t="n">
        <v>19090</v>
      </c>
      <c r="I98" s="26">
        <f>K98</f>
        <v/>
      </c>
      <c r="J98" s="30" t="n">
        <v>0.053</v>
      </c>
      <c r="K98" s="29" t="n">
        <v>38190</v>
      </c>
      <c r="L98" s="26">
        <f>N98</f>
        <v/>
      </c>
      <c r="M98" s="30" t="n">
        <v>0.0765</v>
      </c>
      <c r="N98" s="29" t="n">
        <v>420420</v>
      </c>
      <c r="O98" s="26">
        <f>Q98</f>
        <v/>
      </c>
      <c r="P98" s="30" t="n">
        <v>0</v>
      </c>
      <c r="Q98" s="29" t="n">
        <v>999999999</v>
      </c>
      <c r="R98" s="26">
        <f>T98</f>
        <v/>
      </c>
      <c r="S98" s="30" t="n">
        <v>0</v>
      </c>
      <c r="T98" s="29" t="n">
        <v>999999999</v>
      </c>
      <c r="U98" s="26">
        <f>W98</f>
        <v/>
      </c>
      <c r="V98" s="30" t="n">
        <v>0</v>
      </c>
      <c r="W98" s="29" t="n">
        <v>999999999</v>
      </c>
      <c r="X98" s="26">
        <f>Z98</f>
        <v/>
      </c>
      <c r="Y98" s="30" t="n">
        <v>0</v>
      </c>
      <c r="Z98" s="29" t="n">
        <v>999999999</v>
      </c>
      <c r="AA98" s="26" t="n">
        <v>999999999</v>
      </c>
    </row>
    <row r="99">
      <c r="A99" s="28" t="inlineStr">
        <is>
          <t>OH</t>
        </is>
      </c>
      <c r="B99" s="28" t="inlineStr">
        <is>
          <t>Single</t>
        </is>
      </c>
      <c r="C99" s="23">
        <f>A99&amp;"|"&amp;B99</f>
        <v/>
      </c>
      <c r="D99" s="30" t="n">
        <v>0</v>
      </c>
      <c r="E99" s="29" t="n">
        <v>0</v>
      </c>
      <c r="F99" s="26">
        <f>H99</f>
        <v/>
      </c>
      <c r="G99" s="30" t="n">
        <v>0.0275</v>
      </c>
      <c r="H99" s="29" t="n">
        <v>26050</v>
      </c>
      <c r="I99" s="26">
        <f>K99</f>
        <v/>
      </c>
      <c r="J99" s="30" t="n">
        <v>0.035</v>
      </c>
      <c r="K99" s="29" t="n">
        <v>100000</v>
      </c>
      <c r="L99" s="26">
        <f>N99</f>
        <v/>
      </c>
      <c r="M99" s="30" t="n">
        <v>0</v>
      </c>
      <c r="N99" s="29" t="n">
        <v>999999999</v>
      </c>
      <c r="O99" s="26">
        <f>Q99</f>
        <v/>
      </c>
      <c r="P99" s="30" t="n">
        <v>0</v>
      </c>
      <c r="Q99" s="29" t="n">
        <v>999999999</v>
      </c>
      <c r="R99" s="26">
        <f>T99</f>
        <v/>
      </c>
      <c r="S99" s="30" t="n">
        <v>0</v>
      </c>
      <c r="T99" s="29" t="n">
        <v>999999999</v>
      </c>
      <c r="U99" s="26">
        <f>W99</f>
        <v/>
      </c>
      <c r="V99" s="30" t="n">
        <v>0</v>
      </c>
      <c r="W99" s="29" t="n">
        <v>999999999</v>
      </c>
      <c r="X99" s="26">
        <f>Z99</f>
        <v/>
      </c>
      <c r="Y99" s="30" t="n">
        <v>0</v>
      </c>
      <c r="Z99" s="29" t="n">
        <v>999999999</v>
      </c>
      <c r="AA99" s="26" t="n">
        <v>999999999</v>
      </c>
    </row>
    <row r="100">
      <c r="A100" s="28" t="inlineStr">
        <is>
          <t>OH</t>
        </is>
      </c>
      <c r="B100" s="28" t="inlineStr">
        <is>
          <t>MFJ</t>
        </is>
      </c>
      <c r="C100" s="23">
        <f>A100&amp;"|"&amp;B100</f>
        <v/>
      </c>
      <c r="D100" s="30" t="n">
        <v>0</v>
      </c>
      <c r="E100" s="29" t="n">
        <v>0</v>
      </c>
      <c r="F100" s="26">
        <f>H100</f>
        <v/>
      </c>
      <c r="G100" s="30" t="n">
        <v>0.0275</v>
      </c>
      <c r="H100" s="29" t="n">
        <v>26050</v>
      </c>
      <c r="I100" s="26">
        <f>K100</f>
        <v/>
      </c>
      <c r="J100" s="30" t="n">
        <v>0.035</v>
      </c>
      <c r="K100" s="29" t="n">
        <v>100000</v>
      </c>
      <c r="L100" s="26">
        <f>N100</f>
        <v/>
      </c>
      <c r="M100" s="30" t="n">
        <v>0</v>
      </c>
      <c r="N100" s="29" t="n">
        <v>999999999</v>
      </c>
      <c r="O100" s="26">
        <f>Q100</f>
        <v/>
      </c>
      <c r="P100" s="30" t="n">
        <v>0</v>
      </c>
      <c r="Q100" s="29" t="n">
        <v>999999999</v>
      </c>
      <c r="R100" s="26">
        <f>T100</f>
        <v/>
      </c>
      <c r="S100" s="30" t="n">
        <v>0</v>
      </c>
      <c r="T100" s="29" t="n">
        <v>999999999</v>
      </c>
      <c r="U100" s="26">
        <f>W100</f>
        <v/>
      </c>
      <c r="V100" s="30" t="n">
        <v>0</v>
      </c>
      <c r="W100" s="29" t="n">
        <v>999999999</v>
      </c>
      <c r="X100" s="26">
        <f>Z100</f>
        <v/>
      </c>
      <c r="Y100" s="30" t="n">
        <v>0</v>
      </c>
      <c r="Z100" s="29" t="n">
        <v>999999999</v>
      </c>
      <c r="AA100" s="26" t="n">
        <v>999999999</v>
      </c>
    </row>
    <row r="101">
      <c r="A101" s="28" t="inlineStr">
        <is>
          <t>DC</t>
        </is>
      </c>
      <c r="B101" s="28" t="inlineStr">
        <is>
          <t>Single</t>
        </is>
      </c>
      <c r="C101" s="23">
        <f>A101&amp;"|"&amp;B101</f>
        <v/>
      </c>
      <c r="D101" s="30" t="n">
        <v>0.04</v>
      </c>
      <c r="E101" s="29" t="n">
        <v>0</v>
      </c>
      <c r="F101" s="26">
        <f>H101</f>
        <v/>
      </c>
      <c r="G101" s="30" t="n">
        <v>0.06</v>
      </c>
      <c r="H101" s="29" t="n">
        <v>10000</v>
      </c>
      <c r="I101" s="26">
        <f>K101</f>
        <v/>
      </c>
      <c r="J101" s="30" t="n">
        <v>0.065</v>
      </c>
      <c r="K101" s="29" t="n">
        <v>40000</v>
      </c>
      <c r="L101" s="26">
        <f>N101</f>
        <v/>
      </c>
      <c r="M101" s="30" t="n">
        <v>0.08500000000000001</v>
      </c>
      <c r="N101" s="29" t="n">
        <v>60000</v>
      </c>
      <c r="O101" s="26">
        <f>Q101</f>
        <v/>
      </c>
      <c r="P101" s="30" t="n">
        <v>0.0925</v>
      </c>
      <c r="Q101" s="29" t="n">
        <v>250000</v>
      </c>
      <c r="R101" s="26">
        <f>T101</f>
        <v/>
      </c>
      <c r="S101" s="30" t="n">
        <v>0.0975</v>
      </c>
      <c r="T101" s="29" t="n">
        <v>500000</v>
      </c>
      <c r="U101" s="26">
        <f>W101</f>
        <v/>
      </c>
      <c r="V101" s="30" t="n">
        <v>0</v>
      </c>
      <c r="W101" s="29" t="n">
        <v>999999999</v>
      </c>
      <c r="X101" s="26">
        <f>Z101</f>
        <v/>
      </c>
      <c r="Y101" s="30" t="n">
        <v>0</v>
      </c>
      <c r="Z101" s="29" t="n">
        <v>999999999</v>
      </c>
      <c r="AA101" s="26" t="n">
        <v>999999999</v>
      </c>
    </row>
    <row r="102">
      <c r="A102" s="28" t="inlineStr">
        <is>
          <t>DC</t>
        </is>
      </c>
      <c r="B102" s="28" t="inlineStr">
        <is>
          <t>MFJ</t>
        </is>
      </c>
      <c r="C102" s="23">
        <f>A102&amp;"|"&amp;B102</f>
        <v/>
      </c>
      <c r="D102" s="30" t="n">
        <v>0.04</v>
      </c>
      <c r="E102" s="29" t="n">
        <v>0</v>
      </c>
      <c r="F102" s="26">
        <f>H102</f>
        <v/>
      </c>
      <c r="G102" s="30" t="n">
        <v>0.06</v>
      </c>
      <c r="H102" s="29" t="n">
        <v>10000</v>
      </c>
      <c r="I102" s="26">
        <f>K102</f>
        <v/>
      </c>
      <c r="J102" s="30" t="n">
        <v>0.065</v>
      </c>
      <c r="K102" s="29" t="n">
        <v>40000</v>
      </c>
      <c r="L102" s="26">
        <f>N102</f>
        <v/>
      </c>
      <c r="M102" s="30" t="n">
        <v>0.08500000000000001</v>
      </c>
      <c r="N102" s="29" t="n">
        <v>60000</v>
      </c>
      <c r="O102" s="26">
        <f>Q102</f>
        <v/>
      </c>
      <c r="P102" s="30" t="n">
        <v>0.0925</v>
      </c>
      <c r="Q102" s="29" t="n">
        <v>250000</v>
      </c>
      <c r="R102" s="26">
        <f>T102</f>
        <v/>
      </c>
      <c r="S102" s="30" t="n">
        <v>0.0975</v>
      </c>
      <c r="T102" s="29" t="n">
        <v>500000</v>
      </c>
      <c r="U102" s="26">
        <f>W102</f>
        <v/>
      </c>
      <c r="V102" s="30" t="n">
        <v>0</v>
      </c>
      <c r="W102" s="29" t="n">
        <v>999999999</v>
      </c>
      <c r="X102" s="26">
        <f>Z102</f>
        <v/>
      </c>
      <c r="Y102" s="30" t="n">
        <v>0</v>
      </c>
      <c r="Z102" s="29" t="n">
        <v>999999999</v>
      </c>
      <c r="AA102" s="26" t="n">
        <v>999999999</v>
      </c>
    </row>
    <row r="103">
      <c r="A103" s="28" t="inlineStr">
        <is>
          <t>OTHER</t>
        </is>
      </c>
      <c r="B103" s="28" t="inlineStr">
        <is>
          <t>Single</t>
        </is>
      </c>
      <c r="C103" s="23">
        <f>A103&amp;"|"&amp;B103</f>
        <v/>
      </c>
      <c r="D103" s="30" t="n">
        <v>0</v>
      </c>
      <c r="E103" s="29" t="n">
        <v>0</v>
      </c>
      <c r="F103" s="26">
        <f>H103</f>
        <v/>
      </c>
      <c r="G103" s="30" t="n">
        <v>0</v>
      </c>
      <c r="H103" s="29" t="n">
        <v>999999999</v>
      </c>
      <c r="I103" s="26">
        <f>K103</f>
        <v/>
      </c>
      <c r="J103" s="30" t="n">
        <v>0</v>
      </c>
      <c r="K103" s="29" t="n">
        <v>999999999</v>
      </c>
      <c r="L103" s="26">
        <f>N103</f>
        <v/>
      </c>
      <c r="M103" s="30" t="n">
        <v>0</v>
      </c>
      <c r="N103" s="29" t="n">
        <v>999999999</v>
      </c>
      <c r="O103" s="26">
        <f>Q103</f>
        <v/>
      </c>
      <c r="P103" s="30" t="n">
        <v>0</v>
      </c>
      <c r="Q103" s="29" t="n">
        <v>999999999</v>
      </c>
      <c r="R103" s="26">
        <f>T103</f>
        <v/>
      </c>
      <c r="S103" s="30" t="n">
        <v>0</v>
      </c>
      <c r="T103" s="29" t="n">
        <v>999999999</v>
      </c>
      <c r="U103" s="26">
        <f>W103</f>
        <v/>
      </c>
      <c r="V103" s="30" t="n">
        <v>0</v>
      </c>
      <c r="W103" s="29" t="n">
        <v>999999999</v>
      </c>
      <c r="X103" s="26">
        <f>Z103</f>
        <v/>
      </c>
      <c r="Y103" s="30" t="n">
        <v>0</v>
      </c>
      <c r="Z103" s="29" t="n">
        <v>999999999</v>
      </c>
      <c r="AA103" s="26" t="n">
        <v>999999999</v>
      </c>
    </row>
    <row r="104">
      <c r="A104" s="28" t="inlineStr">
        <is>
          <t>OTHER</t>
        </is>
      </c>
      <c r="B104" s="28" t="inlineStr">
        <is>
          <t>MFJ</t>
        </is>
      </c>
      <c r="C104" s="23">
        <f>A104&amp;"|"&amp;B104</f>
        <v/>
      </c>
      <c r="D104" s="30" t="n">
        <v>0</v>
      </c>
      <c r="E104" s="29" t="n">
        <v>0</v>
      </c>
      <c r="F104" s="26">
        <f>H104</f>
        <v/>
      </c>
      <c r="G104" s="30" t="n">
        <v>0</v>
      </c>
      <c r="H104" s="29" t="n">
        <v>999999999</v>
      </c>
      <c r="I104" s="26">
        <f>K104</f>
        <v/>
      </c>
      <c r="J104" s="30" t="n">
        <v>0</v>
      </c>
      <c r="K104" s="29" t="n">
        <v>999999999</v>
      </c>
      <c r="L104" s="26">
        <f>N104</f>
        <v/>
      </c>
      <c r="M104" s="30" t="n">
        <v>0</v>
      </c>
      <c r="N104" s="29" t="n">
        <v>999999999</v>
      </c>
      <c r="O104" s="26">
        <f>Q104</f>
        <v/>
      </c>
      <c r="P104" s="30" t="n">
        <v>0</v>
      </c>
      <c r="Q104" s="29" t="n">
        <v>999999999</v>
      </c>
      <c r="R104" s="26">
        <f>T104</f>
        <v/>
      </c>
      <c r="S104" s="30" t="n">
        <v>0</v>
      </c>
      <c r="T104" s="29" t="n">
        <v>999999999</v>
      </c>
      <c r="U104" s="26">
        <f>W104</f>
        <v/>
      </c>
      <c r="V104" s="30" t="n">
        <v>0</v>
      </c>
      <c r="W104" s="29" t="n">
        <v>999999999</v>
      </c>
      <c r="X104" s="26">
        <f>Z104</f>
        <v/>
      </c>
      <c r="Y104" s="30" t="n">
        <v>0</v>
      </c>
      <c r="Z104" s="29" t="n">
        <v>999999999</v>
      </c>
      <c r="AA104" s="26" t="n">
        <v>999999999</v>
      </c>
    </row>
  </sheetData>
  <mergeCells count="4">
    <mergeCell ref="A4:H4"/>
    <mergeCell ref="A2:H2"/>
    <mergeCell ref="A39:H39"/>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zoomScale="100" workbookViewId="0">
      <pane xSplit="3" ySplit="3" topLeftCell="D4" activePane="bottomRight" state="frozen"/>
      <selection pane="topRight"/>
      <selection pane="bottomLeft"/>
      <selection pane="bottomRight" activeCell="A1" sqref="A1"/>
    </sheetView>
  </sheetViews>
  <sheetFormatPr baseColWidth="8" defaultRowHeight="15" outlineLevelCol="0"/>
  <cols>
    <col width="10" customWidth="1" min="1" max="1"/>
    <col width="26" customWidth="1" min="2" max="2"/>
    <col width="10" customWidth="1" min="3" max="3"/>
    <col width="12" customWidth="1" min="4" max="4"/>
    <col width="10" customWidth="1" min="5" max="5"/>
    <col width="50" customWidth="1" min="6" max="6"/>
  </cols>
  <sheetData>
    <row r="1" ht="28" customHeight="1">
      <c r="A1" s="19" t="inlineStr">
        <is>
          <t>LOCAL / MUNICIPAL TAX PARAMETER DATABASE</t>
        </is>
      </c>
    </row>
    <row r="2">
      <c r="A2" s="20" t="inlineStr">
        <is>
          <t>A representative sample of localities with earned-income or wage taxes. "Earned" bases apply the rate to wages/self-employment income only (typical of municipal EIT regimes); "All" applies to total state taxable income; "PctState" applies as a percentage of the computed state tax (county piggyback style). Select "Other (Manual Entry)" to enter a custom local rate.</t>
        </is>
      </c>
    </row>
    <row r="4" ht="18" customHeight="1">
      <c r="A4" s="6" t="inlineStr">
        <is>
          <t>Local Tax Table</t>
        </is>
      </c>
      <c r="B4" s="7" t="n"/>
      <c r="C4" s="7" t="n"/>
      <c r="D4" s="7" t="n"/>
      <c r="E4" s="7" t="n"/>
      <c r="F4" s="7" t="n"/>
    </row>
    <row r="5">
      <c r="A5" s="21" t="inlineStr">
        <is>
          <t>Locality Code</t>
        </is>
      </c>
      <c r="B5" s="21" t="inlineStr">
        <is>
          <t>Locality Name</t>
        </is>
      </c>
      <c r="C5" s="21" t="inlineStr">
        <is>
          <t>State</t>
        </is>
      </c>
      <c r="D5" s="21" t="inlineStr">
        <is>
          <t>Tax Base</t>
        </is>
      </c>
      <c r="E5" s="21" t="inlineStr">
        <is>
          <t>Rate</t>
        </is>
      </c>
      <c r="F5" s="21" t="inlineStr">
        <is>
          <t>Notes</t>
        </is>
      </c>
    </row>
    <row r="6">
      <c r="A6" s="28" t="inlineStr">
        <is>
          <t>NYC</t>
        </is>
      </c>
      <c r="B6" s="28" t="inlineStr">
        <is>
          <t>New York City</t>
        </is>
      </c>
      <c r="C6" s="28" t="inlineStr">
        <is>
          <t>NY</t>
        </is>
      </c>
      <c r="D6" s="28" t="inlineStr">
        <is>
          <t>All</t>
        </is>
      </c>
      <c r="E6" s="30" t="n">
        <v>0.03648</v>
      </c>
      <c r="F6" s="32" t="inlineStr">
        <is>
          <t>Approximate blended NYC resident rate.</t>
        </is>
      </c>
    </row>
    <row r="7">
      <c r="A7" s="28" t="inlineStr">
        <is>
          <t>YONK</t>
        </is>
      </c>
      <c r="B7" s="28" t="inlineStr">
        <is>
          <t>Yonkers (NY)</t>
        </is>
      </c>
      <c r="C7" s="28" t="inlineStr">
        <is>
          <t>NY</t>
        </is>
      </c>
      <c r="D7" s="28" t="inlineStr">
        <is>
          <t>PctState</t>
        </is>
      </c>
      <c r="E7" s="30" t="n">
        <v>0.1675</v>
      </c>
      <c r="F7" s="32" t="inlineStr">
        <is>
          <t>Resident surcharge as % of NY State tax.</t>
        </is>
      </c>
    </row>
    <row r="8">
      <c r="A8" s="28" t="inlineStr">
        <is>
          <t>PHIL</t>
        </is>
      </c>
      <c r="B8" s="28" t="inlineStr">
        <is>
          <t>Philadelphia, PA</t>
        </is>
      </c>
      <c r="C8" s="28" t="inlineStr">
        <is>
          <t>PA</t>
        </is>
      </c>
      <c r="D8" s="28" t="inlineStr">
        <is>
          <t>Earned</t>
        </is>
      </c>
      <c r="E8" s="30" t="n">
        <v>0.0375</v>
      </c>
      <c r="F8" s="32" t="inlineStr">
        <is>
          <t>Philadelphia wage tax (resident).</t>
        </is>
      </c>
    </row>
    <row r="9">
      <c r="A9" s="28" t="inlineStr">
        <is>
          <t>PIT</t>
        </is>
      </c>
      <c r="B9" s="28" t="inlineStr">
        <is>
          <t>Pittsburgh, PA</t>
        </is>
      </c>
      <c r="C9" s="28" t="inlineStr">
        <is>
          <t>PA</t>
        </is>
      </c>
      <c r="D9" s="28" t="inlineStr">
        <is>
          <t>Earned</t>
        </is>
      </c>
      <c r="E9" s="30" t="n">
        <v>0.03</v>
      </c>
      <c r="F9" s="32" t="inlineStr">
        <is>
          <t>Local earned income tax (approx.).</t>
        </is>
      </c>
    </row>
    <row r="10">
      <c r="A10" s="28" t="inlineStr">
        <is>
          <t>DET</t>
        </is>
      </c>
      <c r="B10" s="28" t="inlineStr">
        <is>
          <t>Detroit, MI</t>
        </is>
      </c>
      <c r="C10" s="28" t="inlineStr">
        <is>
          <t>MI</t>
        </is>
      </c>
      <c r="D10" s="28" t="inlineStr">
        <is>
          <t>Earned</t>
        </is>
      </c>
      <c r="E10" s="30" t="n">
        <v>0.024</v>
      </c>
      <c r="F10" s="32" t="inlineStr">
        <is>
          <t>Detroit resident income tax.</t>
        </is>
      </c>
    </row>
    <row r="11">
      <c r="A11" s="28" t="inlineStr">
        <is>
          <t>COL</t>
        </is>
      </c>
      <c r="B11" s="28" t="inlineStr">
        <is>
          <t>Columbus, OH</t>
        </is>
      </c>
      <c r="C11" s="28" t="inlineStr">
        <is>
          <t>OH</t>
        </is>
      </c>
      <c r="D11" s="28" t="inlineStr">
        <is>
          <t>Earned</t>
        </is>
      </c>
      <c r="E11" s="30" t="n">
        <v>0.025</v>
      </c>
      <c r="F11" s="32" t="inlineStr">
        <is>
          <t>Ohio municipal income tax (approx.).</t>
        </is>
      </c>
    </row>
    <row r="12">
      <c r="A12" s="28" t="inlineStr">
        <is>
          <t>CIN</t>
        </is>
      </c>
      <c r="B12" s="28" t="inlineStr">
        <is>
          <t>Cincinnati, OH</t>
        </is>
      </c>
      <c r="C12" s="28" t="inlineStr">
        <is>
          <t>OH</t>
        </is>
      </c>
      <c r="D12" s="28" t="inlineStr">
        <is>
          <t>Earned</t>
        </is>
      </c>
      <c r="E12" s="30" t="n">
        <v>0.019</v>
      </c>
      <c r="F12" s="32" t="inlineStr">
        <is>
          <t>Ohio municipal income tax (approx.).</t>
        </is>
      </c>
    </row>
    <row r="13">
      <c r="A13" s="28" t="inlineStr">
        <is>
          <t>CLE</t>
        </is>
      </c>
      <c r="B13" s="28" t="inlineStr">
        <is>
          <t>Cleveland, OH</t>
        </is>
      </c>
      <c r="C13" s="28" t="inlineStr">
        <is>
          <t>OH</t>
        </is>
      </c>
      <c r="D13" s="28" t="inlineStr">
        <is>
          <t>Earned</t>
        </is>
      </c>
      <c r="E13" s="30" t="n">
        <v>0.025</v>
      </c>
      <c r="F13" s="32" t="inlineStr">
        <is>
          <t>Ohio municipal income tax (approx.).</t>
        </is>
      </c>
    </row>
    <row r="14">
      <c r="A14" s="28" t="inlineStr">
        <is>
          <t>MDCO</t>
        </is>
      </c>
      <c r="B14" s="28" t="inlineStr">
        <is>
          <t>Maryland County (avg.)</t>
        </is>
      </c>
      <c r="C14" s="28" t="inlineStr">
        <is>
          <t>MD</t>
        </is>
      </c>
      <c r="D14" s="28" t="inlineStr">
        <is>
          <t>PctState</t>
        </is>
      </c>
      <c r="E14" s="30" t="n">
        <v>0.32</v>
      </c>
      <c r="F14" s="32" t="inlineStr">
        <is>
          <t>Average MD county piggyback tax as % of state taxable income equivalent (approx.).</t>
        </is>
      </c>
    </row>
    <row r="15">
      <c r="A15" s="28" t="inlineStr">
        <is>
          <t>INCO</t>
        </is>
      </c>
      <c r="B15" s="28" t="inlineStr">
        <is>
          <t>Indiana County (avg.)</t>
        </is>
      </c>
      <c r="C15" s="28" t="inlineStr">
        <is>
          <t>IN</t>
        </is>
      </c>
      <c r="D15" s="28" t="inlineStr">
        <is>
          <t>Earned</t>
        </is>
      </c>
      <c r="E15" s="30" t="n">
        <v>0.0165</v>
      </c>
      <c r="F15" s="32" t="inlineStr">
        <is>
          <t>Average Indiana county income tax (approx.).</t>
        </is>
      </c>
    </row>
    <row r="16">
      <c r="A16" s="28" t="inlineStr">
        <is>
          <t>KCMO</t>
        </is>
      </c>
      <c r="B16" s="28" t="inlineStr">
        <is>
          <t>Kansas City, MO</t>
        </is>
      </c>
      <c r="C16" s="28" t="inlineStr">
        <is>
          <t>MO</t>
        </is>
      </c>
      <c r="D16" s="28" t="inlineStr">
        <is>
          <t>Earned</t>
        </is>
      </c>
      <c r="E16" s="30" t="n">
        <v>0.01</v>
      </c>
      <c r="F16" s="32" t="inlineStr">
        <is>
          <t>Local earnings tax.</t>
        </is>
      </c>
    </row>
    <row r="17">
      <c r="A17" s="28" t="inlineStr">
        <is>
          <t>STL</t>
        </is>
      </c>
      <c r="B17" s="28" t="inlineStr">
        <is>
          <t>St. Louis, MO</t>
        </is>
      </c>
      <c r="C17" s="28" t="inlineStr">
        <is>
          <t>MO</t>
        </is>
      </c>
      <c r="D17" s="28" t="inlineStr">
        <is>
          <t>Earned</t>
        </is>
      </c>
      <c r="E17" s="30" t="n">
        <v>0.01</v>
      </c>
      <c r="F17" s="32" t="inlineStr">
        <is>
          <t>Local earnings tax.</t>
        </is>
      </c>
    </row>
    <row r="18">
      <c r="A18" s="28" t="inlineStr">
        <is>
          <t>NONE</t>
        </is>
      </c>
      <c r="B18" s="28" t="inlineStr">
        <is>
          <t>None / Not Applicable</t>
        </is>
      </c>
      <c r="C18" s="28" t="inlineStr"/>
      <c r="D18" s="28" t="inlineStr">
        <is>
          <t>None</t>
        </is>
      </c>
      <c r="E18" s="30" t="n">
        <v>0</v>
      </c>
      <c r="F18" s="32" t="inlineStr">
        <is>
          <t>No local tax.</t>
        </is>
      </c>
    </row>
    <row r="19">
      <c r="A19" s="28" t="inlineStr">
        <is>
          <t>OTHER</t>
        </is>
      </c>
      <c r="B19" s="28" t="inlineStr">
        <is>
          <t>Other (Manual Entry)</t>
        </is>
      </c>
      <c r="C19" s="28" t="inlineStr"/>
      <c r="D19" s="28" t="inlineStr">
        <is>
          <t>Manual</t>
        </is>
      </c>
      <c r="E19" s="30" t="n">
        <v>0</v>
      </c>
      <c r="F19" s="32" t="inlineStr">
        <is>
          <t>Enter a custom local rate on the Inputs tab.</t>
        </is>
      </c>
    </row>
  </sheetData>
  <mergeCells count="3">
    <mergeCell ref="A2:F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3"/>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40" customWidth="1" min="2" max="2"/>
    <col width="17" customWidth="1" min="3" max="3"/>
    <col width="17" customWidth="1" min="4" max="4"/>
    <col width="15" customWidth="1" min="5" max="5"/>
    <col width="13" customWidth="1" min="6" max="6"/>
    <col width="13" customWidth="1" min="7" max="7"/>
    <col width="13" customWidth="1" min="8" max="8"/>
    <col width="30" customWidth="1" min="9" max="9"/>
  </cols>
  <sheetData>
    <row r="1" ht="28" customHeight="1">
      <c r="A1" s="19" t="inlineStr">
        <is>
          <t>CALCULATOR 1: COMPLETE TAX ESTIMATOR - INPUTS</t>
        </is>
      </c>
    </row>
    <row r="2">
      <c r="A2" s="20" t="inlineStr">
        <is>
          <t>Enter all values in the gold input cells. Filing status, tax year, state, and locality drive every downstream calculation.</t>
        </is>
      </c>
    </row>
    <row r="4" ht="18" customHeight="1">
      <c r="A4" s="6" t="inlineStr">
        <is>
          <t>Household Setup</t>
        </is>
      </c>
      <c r="B4" s="7" t="n"/>
      <c r="C4" s="7" t="n"/>
      <c r="D4" s="7" t="n"/>
      <c r="E4" s="7" t="n"/>
      <c r="F4" s="7" t="n"/>
      <c r="G4" s="7" t="n"/>
      <c r="H4" s="7" t="n"/>
      <c r="I4" s="7" t="n"/>
    </row>
    <row r="5">
      <c r="B5" s="33" t="inlineStr">
        <is>
          <t>Filing Status</t>
        </is>
      </c>
      <c r="C5" s="28" t="inlineStr">
        <is>
          <t>Married Filing Jointly</t>
        </is>
      </c>
    </row>
    <row r="6">
      <c r="B6" s="33" t="inlineStr">
        <is>
          <t>Tax Year</t>
        </is>
      </c>
      <c r="C6" s="28" t="n">
        <v>2025</v>
      </c>
    </row>
    <row r="7">
      <c r="B7" s="33" t="inlineStr">
        <is>
          <t>State of Residence</t>
        </is>
      </c>
      <c r="C7" s="28" t="inlineStr">
        <is>
          <t>California</t>
        </is>
      </c>
    </row>
    <row r="8">
      <c r="B8" s="34" t="inlineStr">
        <is>
          <t>State Tax Rate if 'Other (Manual Entry)' Selected</t>
        </is>
      </c>
      <c r="C8" s="30" t="n">
        <v>0.05</v>
      </c>
    </row>
    <row r="9">
      <c r="B9" s="33" t="inlineStr">
        <is>
          <t>Locality / City</t>
        </is>
      </c>
      <c r="C9" s="28" t="inlineStr">
        <is>
          <t>None / Not Applicable</t>
        </is>
      </c>
    </row>
    <row r="10">
      <c r="B10" s="34" t="inlineStr">
        <is>
          <t>Local Tax Rate if 'Other (Manual Entry)' Selected</t>
        </is>
      </c>
      <c r="C10" s="30" t="n">
        <v>0</v>
      </c>
    </row>
    <row r="11">
      <c r="B11" s="34" t="inlineStr">
        <is>
          <t>Number of Qualifying Children (under 17, for Child Tax Credit)</t>
        </is>
      </c>
      <c r="C11" s="27" t="n">
        <v>2</v>
      </c>
    </row>
    <row r="12">
      <c r="B12" s="34" t="inlineStr">
        <is>
          <t>Number of Other Dependents</t>
        </is>
      </c>
      <c r="C12" s="27" t="n">
        <v>0</v>
      </c>
    </row>
    <row r="13">
      <c r="B13" s="34" t="inlineStr">
        <is>
          <t>Number of Taxpayers Age 65+ or Blind (additional std. deduction)</t>
        </is>
      </c>
      <c r="C13" s="27" t="n">
        <v>0</v>
      </c>
    </row>
    <row r="15" ht="18" customHeight="1">
      <c r="A15" s="6" t="inlineStr">
        <is>
          <t>Earned &amp; Other Income</t>
        </is>
      </c>
      <c r="B15" s="7" t="n"/>
      <c r="C15" s="7" t="n"/>
      <c r="D15" s="7" t="n"/>
      <c r="E15" s="7" t="n"/>
      <c r="F15" s="7" t="n"/>
      <c r="G15" s="7" t="n"/>
      <c r="H15" s="7" t="n"/>
      <c r="I15" s="7" t="n"/>
    </row>
    <row r="16">
      <c r="B16" s="21" t="inlineStr">
        <is>
          <t>Income Item</t>
        </is>
      </c>
      <c r="C16" s="21" t="inlineStr">
        <is>
          <t>Individual 1</t>
        </is>
      </c>
      <c r="D16" s="21" t="inlineStr">
        <is>
          <t>Individual 2 / Spouse</t>
        </is>
      </c>
      <c r="E16" s="21" t="inlineStr">
        <is>
          <t>Household Total</t>
        </is>
      </c>
    </row>
    <row r="17">
      <c r="B17" s="35" t="inlineStr">
        <is>
          <t>W-2 Wages / Salary</t>
        </is>
      </c>
      <c r="C17" s="29" t="n">
        <v>165000</v>
      </c>
      <c r="D17" s="29" t="n">
        <v>98000</v>
      </c>
      <c r="E17" s="36">
        <f>C17+D17</f>
        <v/>
      </c>
    </row>
    <row r="18">
      <c r="B18" s="35" t="inlineStr">
        <is>
          <t>Bonus</t>
        </is>
      </c>
      <c r="C18" s="29" t="n">
        <v>20000</v>
      </c>
      <c r="D18" s="29" t="n">
        <v>0</v>
      </c>
      <c r="E18" s="36">
        <f>C18+D18</f>
        <v/>
      </c>
    </row>
    <row r="19">
      <c r="B19" s="35" t="inlineStr">
        <is>
          <t>Commissions</t>
        </is>
      </c>
      <c r="C19" s="29" t="n">
        <v>0</v>
      </c>
      <c r="D19" s="29" t="n">
        <v>0</v>
      </c>
      <c r="E19" s="36">
        <f>C19+D19</f>
        <v/>
      </c>
    </row>
    <row r="20">
      <c r="B20" s="35" t="inlineStr">
        <is>
          <t>Self-Employment Income (net)</t>
        </is>
      </c>
      <c r="C20" s="29" t="n">
        <v>0</v>
      </c>
      <c r="D20" s="29" t="n">
        <v>0</v>
      </c>
      <c r="E20" s="36">
        <f>C20+D20</f>
        <v/>
      </c>
    </row>
    <row r="21">
      <c r="B21" s="35" t="inlineStr">
        <is>
          <t>Partnership / S-Corp Income (K-1, non-investment)</t>
        </is>
      </c>
      <c r="C21" s="29" t="n">
        <v>0</v>
      </c>
      <c r="D21" s="29" t="n">
        <v>0</v>
      </c>
      <c r="E21" s="36">
        <f>C21+D21</f>
        <v/>
      </c>
    </row>
    <row r="22">
      <c r="B22" s="35" t="inlineStr">
        <is>
          <t>Other Ordinary Income</t>
        </is>
      </c>
      <c r="C22" s="29" t="n">
        <v>0</v>
      </c>
      <c r="D22" s="29" t="n">
        <v>0</v>
      </c>
      <c r="E22" s="36">
        <f>C22+D22</f>
        <v/>
      </c>
    </row>
    <row r="23">
      <c r="B23" s="35" t="inlineStr">
        <is>
          <t>Rental Income</t>
        </is>
      </c>
      <c r="C23" s="29" t="n">
        <v>0</v>
      </c>
      <c r="D23" s="29" t="n">
        <v>0</v>
      </c>
      <c r="E23" s="36">
        <f>C23+D23</f>
        <v/>
      </c>
    </row>
    <row r="24">
      <c r="B24" s="35" t="inlineStr">
        <is>
          <t>Pension Income</t>
        </is>
      </c>
      <c r="C24" s="29" t="n">
        <v>0</v>
      </c>
      <c r="D24" s="29" t="n">
        <v>0</v>
      </c>
      <c r="E24" s="36">
        <f>C24+D24</f>
        <v/>
      </c>
    </row>
    <row r="25">
      <c r="B25" s="35" t="inlineStr">
        <is>
          <t>Social Security Income</t>
        </is>
      </c>
      <c r="C25" s="29" t="n">
        <v>0</v>
      </c>
      <c r="D25" s="29" t="n">
        <v>0</v>
      </c>
      <c r="E25" s="36">
        <f>C25+D25</f>
        <v/>
      </c>
    </row>
    <row r="26">
      <c r="B26" s="35" t="inlineStr">
        <is>
          <t>IRA Distributions</t>
        </is>
      </c>
      <c r="C26" s="29" t="n">
        <v>0</v>
      </c>
      <c r="D26" s="29" t="n">
        <v>0</v>
      </c>
      <c r="E26" s="36">
        <f>C26+D26</f>
        <v/>
      </c>
    </row>
    <row r="27">
      <c r="B27" s="35" t="inlineStr">
        <is>
          <t>401(k) Distributions</t>
        </is>
      </c>
      <c r="C27" s="29" t="n">
        <v>0</v>
      </c>
      <c r="D27" s="29" t="n">
        <v>0</v>
      </c>
      <c r="E27" s="36">
        <f>C27+D27</f>
        <v/>
      </c>
    </row>
    <row r="28">
      <c r="B28" s="35" t="inlineStr">
        <is>
          <t>Annuity Income</t>
        </is>
      </c>
      <c r="C28" s="29" t="n">
        <v>0</v>
      </c>
      <c r="D28" s="29" t="n">
        <v>0</v>
      </c>
      <c r="E28" s="36">
        <f>C28+D28</f>
        <v/>
      </c>
    </row>
    <row r="29">
      <c r="B29" s="35" t="inlineStr">
        <is>
          <t>Other Taxable Income</t>
        </is>
      </c>
      <c r="C29" s="29" t="n">
        <v>0</v>
      </c>
      <c r="D29" s="29" t="n">
        <v>0</v>
      </c>
      <c r="E29" s="36">
        <f>C29+D29</f>
        <v/>
      </c>
    </row>
    <row r="30">
      <c r="B30" s="33" t="inlineStr">
        <is>
          <t>Total Household Income</t>
        </is>
      </c>
      <c r="E30" s="37">
        <f>SUM(E17:E29)</f>
        <v/>
      </c>
    </row>
    <row r="32" ht="18" customHeight="1">
      <c r="A32" s="6" t="inlineStr">
        <is>
          <t>Pre-Tax Contributions  (defaults reflect typical treatment - review each Y/N)</t>
        </is>
      </c>
      <c r="B32" s="7" t="n"/>
      <c r="C32" s="7" t="n"/>
      <c r="D32" s="7" t="n"/>
      <c r="E32" s="7" t="n"/>
      <c r="F32" s="7" t="n"/>
      <c r="G32" s="7" t="n"/>
      <c r="H32" s="7" t="n"/>
      <c r="I32" s="7" t="n"/>
    </row>
    <row r="33">
      <c r="B33" s="21" t="inlineStr">
        <is>
          <t>Contribution</t>
        </is>
      </c>
      <c r="C33" s="21" t="inlineStr">
        <is>
          <t>Individual 1</t>
        </is>
      </c>
      <c r="D33" s="21" t="inlineStr">
        <is>
          <t>Individual 2 / Spouse</t>
        </is>
      </c>
      <c r="E33" s="21" t="inlineStr">
        <is>
          <t>Household Total</t>
        </is>
      </c>
      <c r="F33" s="21" t="inlineStr">
        <is>
          <t>Reduces Federal Taxable?</t>
        </is>
      </c>
      <c r="G33" s="21" t="inlineStr">
        <is>
          <t>Reduces State Taxable?</t>
        </is>
      </c>
      <c r="H33" s="21" t="inlineStr">
        <is>
          <t>Reduces FICA Wages?</t>
        </is>
      </c>
    </row>
    <row r="34">
      <c r="B34" s="35" t="inlineStr">
        <is>
          <t>Traditional 401(k)</t>
        </is>
      </c>
      <c r="C34" s="29" t="n">
        <v>15000</v>
      </c>
      <c r="D34" s="29" t="n">
        <v>9000</v>
      </c>
      <c r="E34" s="36">
        <f>C34+D34</f>
        <v/>
      </c>
      <c r="F34" s="38" t="inlineStr">
        <is>
          <t>Y</t>
        </is>
      </c>
      <c r="G34" s="38" t="inlineStr">
        <is>
          <t>Y</t>
        </is>
      </c>
      <c r="H34" s="38" t="inlineStr">
        <is>
          <t>N</t>
        </is>
      </c>
    </row>
    <row r="35">
      <c r="B35" s="35" t="inlineStr">
        <is>
          <t>Traditional 403(b)</t>
        </is>
      </c>
      <c r="C35" s="29" t="n">
        <v>0</v>
      </c>
      <c r="D35" s="29" t="n">
        <v>0</v>
      </c>
      <c r="E35" s="36">
        <f>C35+D35</f>
        <v/>
      </c>
      <c r="F35" s="38" t="inlineStr">
        <is>
          <t>Y</t>
        </is>
      </c>
      <c r="G35" s="38" t="inlineStr">
        <is>
          <t>Y</t>
        </is>
      </c>
      <c r="H35" s="38" t="inlineStr">
        <is>
          <t>N</t>
        </is>
      </c>
    </row>
    <row r="36">
      <c r="B36" s="35" t="inlineStr">
        <is>
          <t>Traditional 457(b)</t>
        </is>
      </c>
      <c r="C36" s="29" t="n">
        <v>0</v>
      </c>
      <c r="D36" s="29" t="n">
        <v>0</v>
      </c>
      <c r="E36" s="36">
        <f>C36+D36</f>
        <v/>
      </c>
      <c r="F36" s="38" t="inlineStr">
        <is>
          <t>Y</t>
        </is>
      </c>
      <c r="G36" s="38" t="inlineStr">
        <is>
          <t>Y</t>
        </is>
      </c>
      <c r="H36" s="38" t="inlineStr">
        <is>
          <t>N</t>
        </is>
      </c>
    </row>
    <row r="37">
      <c r="B37" s="35" t="inlineStr">
        <is>
          <t>SIMPLE IRA</t>
        </is>
      </c>
      <c r="C37" s="29" t="n">
        <v>0</v>
      </c>
      <c r="D37" s="29" t="n">
        <v>0</v>
      </c>
      <c r="E37" s="36">
        <f>C37+D37</f>
        <v/>
      </c>
      <c r="F37" s="38" t="inlineStr">
        <is>
          <t>Y</t>
        </is>
      </c>
      <c r="G37" s="38" t="inlineStr">
        <is>
          <t>Y</t>
        </is>
      </c>
      <c r="H37" s="38" t="inlineStr">
        <is>
          <t>Y</t>
        </is>
      </c>
    </row>
    <row r="38">
      <c r="B38" s="35" t="inlineStr">
        <is>
          <t>SEP IRA</t>
        </is>
      </c>
      <c r="C38" s="29" t="n">
        <v>0</v>
      </c>
      <c r="D38" s="29" t="n">
        <v>0</v>
      </c>
      <c r="E38" s="36">
        <f>C38+D38</f>
        <v/>
      </c>
      <c r="F38" s="38" t="inlineStr">
        <is>
          <t>Y</t>
        </is>
      </c>
      <c r="G38" s="38" t="inlineStr">
        <is>
          <t>Y</t>
        </is>
      </c>
      <c r="H38" s="38" t="inlineStr">
        <is>
          <t>N</t>
        </is>
      </c>
    </row>
    <row r="39">
      <c r="B39" s="35" t="inlineStr">
        <is>
          <t>Traditional IRA (deductible)</t>
        </is>
      </c>
      <c r="C39" s="29" t="n">
        <v>0</v>
      </c>
      <c r="D39" s="29" t="n">
        <v>0</v>
      </c>
      <c r="E39" s="36">
        <f>C39+D39</f>
        <v/>
      </c>
      <c r="F39" s="38" t="inlineStr">
        <is>
          <t>Y</t>
        </is>
      </c>
      <c r="G39" s="38" t="inlineStr">
        <is>
          <t>Y</t>
        </is>
      </c>
      <c r="H39" s="38" t="inlineStr">
        <is>
          <t>N</t>
        </is>
      </c>
    </row>
    <row r="40">
      <c r="B40" s="35" t="inlineStr">
        <is>
          <t>HSA Contributions</t>
        </is>
      </c>
      <c r="C40" s="29" t="n">
        <v>4300</v>
      </c>
      <c r="D40" s="29" t="n">
        <v>0</v>
      </c>
      <c r="E40" s="36">
        <f>C40+D40</f>
        <v/>
      </c>
      <c r="F40" s="38" t="inlineStr">
        <is>
          <t>Y</t>
        </is>
      </c>
      <c r="G40" s="38" t="inlineStr">
        <is>
          <t>Y</t>
        </is>
      </c>
      <c r="H40" s="38" t="inlineStr">
        <is>
          <t>Y</t>
        </is>
      </c>
    </row>
    <row r="41">
      <c r="B41" s="35" t="inlineStr">
        <is>
          <t>FSA Contributions</t>
        </is>
      </c>
      <c r="C41" s="29" t="n">
        <v>0</v>
      </c>
      <c r="D41" s="29" t="n">
        <v>0</v>
      </c>
      <c r="E41" s="36">
        <f>C41+D41</f>
        <v/>
      </c>
      <c r="F41" s="38" t="inlineStr">
        <is>
          <t>Y</t>
        </is>
      </c>
      <c r="G41" s="38" t="inlineStr">
        <is>
          <t>Y</t>
        </is>
      </c>
      <c r="H41" s="38" t="inlineStr">
        <is>
          <t>Y</t>
        </is>
      </c>
    </row>
    <row r="42">
      <c r="B42" s="35" t="inlineStr">
        <is>
          <t>Other Eligible Pre-Tax Contributions</t>
        </is>
      </c>
      <c r="C42" s="29" t="n">
        <v>0</v>
      </c>
      <c r="D42" s="29" t="n">
        <v>0</v>
      </c>
      <c r="E42" s="36">
        <f>C42+D42</f>
        <v/>
      </c>
      <c r="F42" s="38" t="inlineStr">
        <is>
          <t>Y</t>
        </is>
      </c>
      <c r="G42" s="38" t="inlineStr">
        <is>
          <t>Y</t>
        </is>
      </c>
      <c r="H42" s="38" t="inlineStr">
        <is>
          <t>N</t>
        </is>
      </c>
    </row>
    <row r="44" ht="18" customHeight="1">
      <c r="A44" s="6" t="inlineStr">
        <is>
          <t>Investment Income (household total)</t>
        </is>
      </c>
      <c r="B44" s="7" t="n"/>
      <c r="C44" s="7" t="n"/>
      <c r="D44" s="7" t="n"/>
      <c r="E44" s="7" t="n"/>
      <c r="F44" s="7" t="n"/>
      <c r="G44" s="7" t="n"/>
      <c r="H44" s="7" t="n"/>
      <c r="I44" s="7" t="n"/>
    </row>
    <row r="45">
      <c r="B45" s="21" t="inlineStr">
        <is>
          <t>Investment Income Item</t>
        </is>
      </c>
      <c r="C45" s="21" t="inlineStr">
        <is>
          <t>Amount</t>
        </is>
      </c>
    </row>
    <row r="46">
      <c r="B46" s="35" t="inlineStr">
        <is>
          <t>Qualified Dividends</t>
        </is>
      </c>
      <c r="C46" s="29" t="n">
        <v>8000</v>
      </c>
    </row>
    <row r="47">
      <c r="B47" s="35" t="inlineStr">
        <is>
          <t>Ordinary (Non-Qualified) Dividends</t>
        </is>
      </c>
      <c r="C47" s="29" t="n">
        <v>2000</v>
      </c>
    </row>
    <row r="48">
      <c r="B48" s="35" t="inlineStr">
        <is>
          <t>Taxable Interest</t>
        </is>
      </c>
      <c r="C48" s="29" t="n">
        <v>3000</v>
      </c>
    </row>
    <row r="49">
      <c r="B49" s="35" t="inlineStr">
        <is>
          <t>Tax-Exempt Municipal Bond Interest</t>
        </is>
      </c>
      <c r="C49" s="29" t="n">
        <v>1500</v>
      </c>
    </row>
    <row r="50">
      <c r="B50" s="35" t="inlineStr">
        <is>
          <t>Short-Term Capital Gains</t>
        </is>
      </c>
      <c r="C50" s="29" t="n">
        <v>1500</v>
      </c>
    </row>
    <row r="51">
      <c r="B51" s="35" t="inlineStr">
        <is>
          <t>Short-Term Capital Losses (enter as positive)</t>
        </is>
      </c>
      <c r="C51" s="29" t="n">
        <v>0</v>
      </c>
    </row>
    <row r="52">
      <c r="B52" s="35" t="inlineStr">
        <is>
          <t>Long-Term Capital Gains</t>
        </is>
      </c>
      <c r="C52" s="29" t="n">
        <v>12000</v>
      </c>
    </row>
    <row r="53">
      <c r="B53" s="35" t="inlineStr">
        <is>
          <t>Long-Term Capital Losses (enter as positive)</t>
        </is>
      </c>
      <c r="C53" s="29" t="n">
        <v>0</v>
      </c>
    </row>
    <row r="54">
      <c r="B54" s="35" t="inlineStr">
        <is>
          <t>Capital-Loss Carryforward (prior years, LT character)</t>
        </is>
      </c>
      <c r="C54" s="29" t="n">
        <v>0</v>
      </c>
    </row>
    <row r="55">
      <c r="B55" s="35" t="inlineStr">
        <is>
          <t>REIT Distributions (ordinary portion)</t>
        </is>
      </c>
      <c r="C55" s="29" t="n">
        <v>0</v>
      </c>
    </row>
    <row r="56">
      <c r="B56" s="35" t="inlineStr">
        <is>
          <t>Partnership / K-1 Investment Income</t>
        </is>
      </c>
      <c r="C56" s="29" t="n">
        <v>0</v>
      </c>
    </row>
    <row r="57">
      <c r="B57" s="35" t="inlineStr">
        <is>
          <t>Other Investment Income</t>
        </is>
      </c>
      <c r="C57" s="29" t="n">
        <v>0</v>
      </c>
    </row>
    <row r="59" ht="18" customHeight="1">
      <c r="A59" s="6" t="inlineStr">
        <is>
          <t>Deductions</t>
        </is>
      </c>
      <c r="B59" s="7" t="n"/>
      <c r="C59" s="7" t="n"/>
      <c r="D59" s="7" t="n"/>
      <c r="E59" s="7" t="n"/>
      <c r="F59" s="7" t="n"/>
      <c r="G59" s="7" t="n"/>
      <c r="H59" s="7" t="n"/>
      <c r="I59" s="7" t="n"/>
    </row>
    <row r="60">
      <c r="B60" s="33" t="inlineStr">
        <is>
          <t>Deduction Method</t>
        </is>
      </c>
      <c r="C60" s="28" t="inlineStr">
        <is>
          <t>Auto (Larger of Standard or Itemized)</t>
        </is>
      </c>
    </row>
    <row r="61">
      <c r="B61" s="35" t="inlineStr">
        <is>
          <t>Mortgage Interest</t>
        </is>
      </c>
      <c r="C61" s="29" t="n">
        <v>9500</v>
      </c>
    </row>
    <row r="62">
      <c r="B62" s="35" t="inlineStr">
        <is>
          <t>State &amp; Local Income / Property Taxes Paid (pre-cap)</t>
        </is>
      </c>
      <c r="C62" s="29" t="n">
        <v>16000</v>
      </c>
    </row>
    <row r="63">
      <c r="B63" s="35" t="inlineStr">
        <is>
          <t>Charitable Contributions</t>
        </is>
      </c>
      <c r="C63" s="29" t="n">
        <v>6000</v>
      </c>
    </row>
    <row r="64">
      <c r="B64" s="35" t="inlineStr">
        <is>
          <t>Medical Expenses (total, pre-AGI floor)</t>
        </is>
      </c>
      <c r="C64" s="29" t="n">
        <v>0</v>
      </c>
    </row>
    <row r="65">
      <c r="B65" s="35" t="inlineStr">
        <is>
          <t>Other Deductible Expenses</t>
        </is>
      </c>
      <c r="C65" s="29" t="n">
        <v>0</v>
      </c>
    </row>
    <row r="67" ht="18" customHeight="1">
      <c r="A67" s="6" t="inlineStr">
        <is>
          <t>Tax Credits</t>
        </is>
      </c>
      <c r="B67" s="7" t="n"/>
      <c r="C67" s="7" t="n"/>
      <c r="D67" s="7" t="n"/>
      <c r="E67" s="7" t="n"/>
      <c r="F67" s="7" t="n"/>
      <c r="G67" s="7" t="n"/>
      <c r="H67" s="7" t="n"/>
      <c r="I67" s="7" t="n"/>
    </row>
    <row r="68">
      <c r="B68" s="35" t="inlineStr">
        <is>
          <t>Child &amp; Dependent Care Expenses (qualifying)</t>
        </is>
      </c>
      <c r="C68" s="29" t="n">
        <v>6000</v>
      </c>
    </row>
    <row r="69">
      <c r="B69" s="35" t="inlineStr">
        <is>
          <t>Number of Qualifying Dependents for Care Credit (0, 1, or 2+)</t>
        </is>
      </c>
      <c r="C69" s="39" t="n">
        <v>1</v>
      </c>
    </row>
    <row r="70">
      <c r="B70" s="35" t="inlineStr">
        <is>
          <t>Education Credit (estimated amount)</t>
        </is>
      </c>
      <c r="C70" s="29" t="n">
        <v>0</v>
      </c>
    </row>
    <row r="71">
      <c r="B71" s="35" t="inlineStr">
        <is>
          <t>Retirement Contribution Eligible for Saver's Credit</t>
        </is>
      </c>
      <c r="C71" s="29" t="n">
        <v>0</v>
      </c>
    </row>
    <row r="72">
      <c r="B72" s="35" t="inlineStr">
        <is>
          <t>Energy-Related Credit (estimated amount)</t>
        </is>
      </c>
      <c r="C72" s="29" t="n">
        <v>0</v>
      </c>
    </row>
    <row r="73">
      <c r="B73" s="35" t="inlineStr">
        <is>
          <t>Other Applicable Credits (estimated amount)</t>
        </is>
      </c>
      <c r="C73" s="29" t="n">
        <v>0</v>
      </c>
    </row>
  </sheetData>
  <mergeCells count="8">
    <mergeCell ref="A15:I15"/>
    <mergeCell ref="A59:I59"/>
    <mergeCell ref="A2:I2"/>
    <mergeCell ref="A32:I32"/>
    <mergeCell ref="A44:I44"/>
    <mergeCell ref="A1:E1"/>
    <mergeCell ref="A67:I67"/>
    <mergeCell ref="A4:I4"/>
  </mergeCells>
  <dataValidations count="32">
    <dataValidation sqref="C5" showDropDown="0" showInputMessage="0" showErrorMessage="0" allowBlank="0" type="list">
      <formula1>"Single,Married Filing Jointly,Married Filing Separately,Head of Household,Qualifying Surviving Spouse"</formula1>
    </dataValidation>
    <dataValidation sqref="C6" showDropDown="0" showInputMessage="0" showErrorMessage="0" allowBlank="0" type="list">
      <formula1>"2024,2025"</formula1>
    </dataValidation>
    <dataValidation sqref="C7" showDropDown="0" showInputMessage="0" showErrorMessage="0" allowBlank="0" type="list">
      <formula1>=Params_State!$B$6:$B$37</formula1>
    </dataValidation>
    <dataValidation sqref="C9" showDropDown="0" showInputMessage="0" showErrorMessage="0" allowBlank="0" type="list">
      <formula1>=Params_Local!$B$6:$B$19</formula1>
    </dataValidation>
    <dataValidation sqref="F34" showDropDown="0" showInputMessage="0" showErrorMessage="0" allowBlank="0" type="list">
      <formula1>"Y,N"</formula1>
    </dataValidation>
    <dataValidation sqref="G34" showDropDown="0" showInputMessage="0" showErrorMessage="0" allowBlank="0" type="list">
      <formula1>"Y,N"</formula1>
    </dataValidation>
    <dataValidation sqref="H34" showDropDown="0" showInputMessage="0" showErrorMessage="0" allowBlank="0" type="list">
      <formula1>"Y,N"</formula1>
    </dataValidation>
    <dataValidation sqref="F35" showDropDown="0" showInputMessage="0" showErrorMessage="0" allowBlank="0" type="list">
      <formula1>"Y,N"</formula1>
    </dataValidation>
    <dataValidation sqref="G35" showDropDown="0" showInputMessage="0" showErrorMessage="0" allowBlank="0" type="list">
      <formula1>"Y,N"</formula1>
    </dataValidation>
    <dataValidation sqref="H35" showDropDown="0" showInputMessage="0" showErrorMessage="0" allowBlank="0" type="list">
      <formula1>"Y,N"</formula1>
    </dataValidation>
    <dataValidation sqref="F36" showDropDown="0" showInputMessage="0" showErrorMessage="0" allowBlank="0" type="list">
      <formula1>"Y,N"</formula1>
    </dataValidation>
    <dataValidation sqref="G36" showDropDown="0" showInputMessage="0" showErrorMessage="0" allowBlank="0" type="list">
      <formula1>"Y,N"</formula1>
    </dataValidation>
    <dataValidation sqref="H36" showDropDown="0" showInputMessage="0" showErrorMessage="0" allowBlank="0" type="list">
      <formula1>"Y,N"</formula1>
    </dataValidation>
    <dataValidation sqref="F37" showDropDown="0" showInputMessage="0" showErrorMessage="0" allowBlank="0" type="list">
      <formula1>"Y,N"</formula1>
    </dataValidation>
    <dataValidation sqref="G37" showDropDown="0" showInputMessage="0" showErrorMessage="0" allowBlank="0" type="list">
      <formula1>"Y,N"</formula1>
    </dataValidation>
    <dataValidation sqref="H37" showDropDown="0" showInputMessage="0" showErrorMessage="0" allowBlank="0" type="list">
      <formula1>"Y,N"</formula1>
    </dataValidation>
    <dataValidation sqref="F38" showDropDown="0" showInputMessage="0" showErrorMessage="0" allowBlank="0" type="list">
      <formula1>"Y,N"</formula1>
    </dataValidation>
    <dataValidation sqref="G38" showDropDown="0" showInputMessage="0" showErrorMessage="0" allowBlank="0" type="list">
      <formula1>"Y,N"</formula1>
    </dataValidation>
    <dataValidation sqref="H38" showDropDown="0" showInputMessage="0" showErrorMessage="0" allowBlank="0" type="list">
      <formula1>"Y,N"</formula1>
    </dataValidation>
    <dataValidation sqref="F39" showDropDown="0" showInputMessage="0" showErrorMessage="0" allowBlank="0" type="list">
      <formula1>"Y,N"</formula1>
    </dataValidation>
    <dataValidation sqref="G39" showDropDown="0" showInputMessage="0" showErrorMessage="0" allowBlank="0" type="list">
      <formula1>"Y,N"</formula1>
    </dataValidation>
    <dataValidation sqref="H39" showDropDown="0" showInputMessage="0" showErrorMessage="0" allowBlank="0" type="list">
      <formula1>"Y,N"</formula1>
    </dataValidation>
    <dataValidation sqref="F40" showDropDown="0" showInputMessage="0" showErrorMessage="0" allowBlank="0" type="list">
      <formula1>"Y,N"</formula1>
    </dataValidation>
    <dataValidation sqref="G40" showDropDown="0" showInputMessage="0" showErrorMessage="0" allowBlank="0" type="list">
      <formula1>"Y,N"</formula1>
    </dataValidation>
    <dataValidation sqref="H40" showDropDown="0" showInputMessage="0" showErrorMessage="0" allowBlank="0" type="list">
      <formula1>"Y,N"</formula1>
    </dataValidation>
    <dataValidation sqref="F41" showDropDown="0" showInputMessage="0" showErrorMessage="0" allowBlank="0" type="list">
      <formula1>"Y,N"</formula1>
    </dataValidation>
    <dataValidation sqref="G41" showDropDown="0" showInputMessage="0" showErrorMessage="0" allowBlank="0" type="list">
      <formula1>"Y,N"</formula1>
    </dataValidation>
    <dataValidation sqref="H41" showDropDown="0" showInputMessage="0" showErrorMessage="0" allowBlank="0" type="list">
      <formula1>"Y,N"</formula1>
    </dataValidation>
    <dataValidation sqref="F42" showDropDown="0" showInputMessage="0" showErrorMessage="0" allowBlank="0" type="list">
      <formula1>"Y,N"</formula1>
    </dataValidation>
    <dataValidation sqref="G42" showDropDown="0" showInputMessage="0" showErrorMessage="0" allowBlank="0" type="list">
      <formula1>"Y,N"</formula1>
    </dataValidation>
    <dataValidation sqref="H42" showDropDown="0" showInputMessage="0" showErrorMessage="0" allowBlank="0" type="list">
      <formula1>"Y,N"</formula1>
    </dataValidation>
    <dataValidation sqref="C60" showDropDown="0" showInputMessage="0" showErrorMessage="0" allowBlank="0" type="list">
      <formula1>"Auto (Larger of Standard or Itemized),Force Standard Deduction,Force Itemized Deduction"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44"/>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52" customWidth="1" min="2" max="2"/>
    <col width="17" customWidth="1" min="3" max="3"/>
    <col width="34" customWidth="1" min="4" max="4"/>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28" customHeight="1">
      <c r="A1" s="19" t="inlineStr">
        <is>
          <t>CALCULATOR 1 ENGINE - SHOWS ALL UNDERLYING CALCULATIONS</t>
        </is>
      </c>
    </row>
    <row r="2">
      <c r="A2" s="20" t="inlineStr">
        <is>
          <t>Every figure below is a live formula referencing Calc1_Inputs and the Params_* parameter tables. Nothing is hardcoded.</t>
        </is>
      </c>
    </row>
    <row r="3">
      <c r="K3" s="40" t="inlineStr">
        <is>
          <t>WORKING LOOKUP TABLES (helper cells - not for direct editing)</t>
        </is>
      </c>
    </row>
    <row r="4" ht="18" customHeight="1">
      <c r="A4" s="6" t="inlineStr">
        <is>
          <t>1. Capital Gain / Loss Netting</t>
        </is>
      </c>
      <c r="B4" s="7" t="n"/>
      <c r="C4" s="7" t="n"/>
      <c r="D4" s="7" t="n"/>
      <c r="K4" s="41" t="inlineStr">
        <is>
          <t>Filing Status</t>
        </is>
      </c>
      <c r="L4" s="42">
        <f>'Calc1_Inputs'!C5</f>
        <v/>
      </c>
    </row>
    <row r="5">
      <c r="B5" s="35" t="inlineStr">
        <is>
          <t>Net Short-Term Gain / (Loss)</t>
        </is>
      </c>
      <c r="C5" s="36">
        <f>(Calc1_Inputs!C50-Calc1_Inputs!C51)</f>
        <v/>
      </c>
      <c r="K5" s="41" t="inlineStr">
        <is>
          <t>Tax Year</t>
        </is>
      </c>
      <c r="L5" s="42">
        <f>'Calc1_Inputs'!C6</f>
        <v/>
      </c>
    </row>
    <row r="6">
      <c r="B6" s="35" t="inlineStr">
        <is>
          <t>Net Long-Term Gain / (Loss), net of carryforward</t>
        </is>
      </c>
      <c r="C6" s="36">
        <f>(Calc1_Inputs!C52-Calc1_Inputs!C53-Calc1_Inputs!C54)</f>
        <v/>
      </c>
      <c r="K6" s="41" t="inlineStr">
        <is>
          <t>Federal Key</t>
        </is>
      </c>
      <c r="L6" s="42">
        <f>L5&amp;"|"&amp;L4</f>
        <v/>
      </c>
    </row>
    <row r="7">
      <c r="B7" s="35" t="inlineStr">
        <is>
          <t>Combined Net Capital Gain / (Loss)</t>
        </is>
      </c>
      <c r="C7" s="36">
        <f>(C5+C6)</f>
        <v/>
      </c>
      <c r="K7" s="41" t="inlineStr">
        <is>
          <t>Fed Bracket Row#</t>
        </is>
      </c>
      <c r="L7" s="42">
        <f>MATCH(L6,Params_Federal!$C$6:$C$15,0)</f>
        <v/>
      </c>
    </row>
    <row r="8">
      <c r="B8" s="35" t="inlineStr">
        <is>
          <t>Capital Loss Limit vs. Ordinary Income</t>
        </is>
      </c>
      <c r="C8" s="36">
        <f>INDEX(Params_Federal!$D$45:$D$49,L12)</f>
        <v/>
      </c>
      <c r="K8" s="41" t="inlineStr">
        <is>
          <t>LTCG Bracket Row#</t>
        </is>
      </c>
      <c r="L8" s="42">
        <f>MATCH(L6,Params_Federal!$C$19:$C$28,0)</f>
        <v/>
      </c>
    </row>
    <row r="9">
      <c r="B9" s="33" t="inlineStr">
        <is>
          <t>Ordinary-Taxed Capital Gain / (Loss Deduction, capped)</t>
        </is>
      </c>
      <c r="C9" s="43">
        <f>IF(C7&lt;=0,MAX(C7,-C8),IF(AND(C5&gt;=0,C6&gt;=0),C5,IF(AND(C5&lt;0,C6&gt;=0),0,IF(AND(C5&gt;=0,C6&lt;0),C7,0))))</f>
        <v/>
      </c>
      <c r="K9" s="41" t="inlineStr">
        <is>
          <t>StdDed Row#</t>
        </is>
      </c>
      <c r="L9" s="42">
        <f>MATCH(L6,Params_Federal!$C$32:$C$41,0)</f>
        <v/>
      </c>
    </row>
    <row r="10">
      <c r="B10" s="33" t="inlineStr">
        <is>
          <t>Preferential (LTCG-Rate) Net Capital Gain</t>
        </is>
      </c>
      <c r="C10" s="43">
        <f>IF(C7&lt;=0,0,IF(AND(C5&gt;=0,C6&gt;=0),C6,IF(AND(C5&lt;0,C6&gt;=0),C7,IF(AND(C5&gt;=0,C6&lt;0),0,0))))</f>
        <v/>
      </c>
      <c r="K10" s="41" t="inlineStr">
        <is>
          <t>SALT Row#</t>
        </is>
      </c>
      <c r="L10" s="42">
        <f>MATCH(L6,Params_Federal!$C$53:$C$62,0)</f>
        <v/>
      </c>
    </row>
    <row r="11">
      <c r="B11" s="35" t="inlineStr">
        <is>
          <t>Capital-Loss Carryforward to Future Years</t>
        </is>
      </c>
      <c r="C11" s="36">
        <f>IF(C7&lt;=0,C7-MAX(C7,-C8),0)</f>
        <v/>
      </c>
      <c r="D11" s="44" t="inlineStr">
        <is>
          <t>Negative = amount available to carry forward</t>
        </is>
      </c>
      <c r="K11" s="41" t="inlineStr">
        <is>
          <t>Savers Row#</t>
        </is>
      </c>
      <c r="L11" s="42">
        <f>MATCH(L6,Params_Federal!$C$85:$C$94,0)</f>
        <v/>
      </c>
    </row>
    <row r="12">
      <c r="K12" s="41" t="inlineStr">
        <is>
          <t>Status Row# (NIIT/AddlMed/CapLoss)</t>
        </is>
      </c>
      <c r="L12" s="42">
        <f>MATCH(L4,Params_Federal!$A$45:$A$49,0)</f>
        <v/>
      </c>
    </row>
    <row r="13" ht="18" customHeight="1">
      <c r="A13" s="6" t="inlineStr">
        <is>
          <t>2. Pre-Tax Contributions - Federal / State / FICA Treatment</t>
        </is>
      </c>
      <c r="B13" s="7" t="n"/>
      <c r="C13" s="7" t="n"/>
      <c r="D13" s="7" t="n"/>
      <c r="K13" s="41" t="inlineStr">
        <is>
          <t>Year Row# (CTC)</t>
        </is>
      </c>
      <c r="L13" s="42">
        <f>MATCH(L5,Params_Federal!$A$76:$A$77,0)</f>
        <v/>
      </c>
    </row>
    <row r="14">
      <c r="B14" s="35" t="inlineStr">
        <is>
          <t>Contributions Reducing Federal Taxable Income</t>
        </is>
      </c>
      <c r="C14" s="36">
        <f>SUMPRODUCT((Calc1_Inputs!$F$34:$F$42="Y")*Calc1_Inputs!$E$34:$E$42)</f>
        <v/>
      </c>
      <c r="K14" s="41" t="inlineStr">
        <is>
          <t>Year Row# (Payroll)</t>
        </is>
      </c>
      <c r="L14" s="42">
        <f>MATCH(L5,Params_Federal!$A$66:$A$67,0)</f>
        <v/>
      </c>
    </row>
    <row r="15">
      <c r="B15" s="35" t="inlineStr">
        <is>
          <t>Contributions Reducing State Taxable Income</t>
        </is>
      </c>
      <c r="C15" s="36">
        <f>SUMPRODUCT((Calc1_Inputs!$G$34:$G$42="Y")*Calc1_Inputs!$E$34:$E$42)</f>
        <v/>
      </c>
      <c r="K15" s="41" t="inlineStr">
        <is>
          <t>State Name</t>
        </is>
      </c>
      <c r="L15" s="42">
        <f>'Calc1_Inputs'!C7</f>
        <v/>
      </c>
    </row>
    <row r="16">
      <c r="B16" s="35" t="inlineStr">
        <is>
          <t>Contributions Reducing FICA Wages - Individual 1</t>
        </is>
      </c>
      <c r="C16" s="36">
        <f>SUMPRODUCT((Calc1_Inputs!$H$34:$H$42="Y")*Calc1_Inputs!$C$34:$C$42)</f>
        <v/>
      </c>
      <c r="K16" s="41" t="inlineStr">
        <is>
          <t>State Code</t>
        </is>
      </c>
      <c r="L16" s="42">
        <f>INDEX(Params_State!$A$6:$A$37,MATCH(L15,Params_State!$B$6:$B$37,0))</f>
        <v/>
      </c>
    </row>
    <row r="17">
      <c r="B17" s="35" t="inlineStr">
        <is>
          <t>Contributions Reducing FICA Wages - Individual 2</t>
        </is>
      </c>
      <c r="C17" s="36">
        <f>SUMPRODUCT((Calc1_Inputs!$H$34:$H$42="Y")*Calc1_Inputs!$D$34:$D$42)</f>
        <v/>
      </c>
      <c r="K17" s="41" t="inlineStr">
        <is>
          <t>State Category</t>
        </is>
      </c>
      <c r="L17" s="42">
        <f>IF(OR(L4="Married Filing Jointly",L4="Qualifying Surviving Spouse"),"MFJ","Single")</f>
        <v/>
      </c>
    </row>
    <row r="18">
      <c r="B18" s="35" t="inlineStr">
        <is>
          <t>FICA Wages - Individual 1 (W-2 + Bonus + Commissions, less FICA-exempt contrib.)</t>
        </is>
      </c>
      <c r="C18" s="36">
        <f>(Calc1_Inputs!C17+Calc1_Inputs!C18+Calc1_Inputs!C19)-C16</f>
        <v/>
      </c>
      <c r="K18" s="41" t="inlineStr">
        <is>
          <t>State Key</t>
        </is>
      </c>
      <c r="L18" s="42">
        <f>L16&amp;"|"&amp;L17</f>
        <v/>
      </c>
    </row>
    <row r="19">
      <c r="B19" s="35" t="inlineStr">
        <is>
          <t>FICA Wages - Individual 2 (W-2 + Bonus + Commissions, less FICA-exempt contrib.)</t>
        </is>
      </c>
      <c r="C19" s="36">
        <f>(Calc1_Inputs!D17+Calc1_Inputs!D18+Calc1_Inputs!D19)-C17</f>
        <v/>
      </c>
      <c r="K19" s="41" t="inlineStr">
        <is>
          <t>State Bracket Row#</t>
        </is>
      </c>
      <c r="L19" s="42">
        <f>MATCH(L18,Params_State!$C$41:$C$104,0)</f>
        <v/>
      </c>
    </row>
    <row r="20">
      <c r="K20" s="41" t="inlineStr">
        <is>
          <t>State Master Row#</t>
        </is>
      </c>
      <c r="L20" s="42">
        <f>MATCH(L16,Params_State!$A$6:$A$37,0)</f>
        <v/>
      </c>
    </row>
    <row r="21" ht="18" customHeight="1">
      <c r="A21" s="6" t="inlineStr">
        <is>
          <t>3. Self-Employment Tax</t>
        </is>
      </c>
      <c r="B21" s="7" t="n"/>
      <c r="C21" s="7" t="n"/>
      <c r="D21" s="7" t="n"/>
      <c r="K21" s="41" t="inlineStr">
        <is>
          <t>Locality Name</t>
        </is>
      </c>
      <c r="L21" s="42">
        <f>'Calc1_Inputs'!C9</f>
        <v/>
      </c>
    </row>
    <row r="22">
      <c r="B22" s="35" t="inlineStr">
        <is>
          <t>SS Wage Base (selected tax year)</t>
        </is>
      </c>
      <c r="C22" s="36">
        <f>INDEX(Params_Federal!$B$66:$B$67,L14)</f>
        <v/>
      </c>
      <c r="K22" s="41" t="inlineStr">
        <is>
          <t>Locality Row#</t>
        </is>
      </c>
      <c r="L22" s="42">
        <f>MATCH(L21,Params_Local!$B$6:$B$19,0)</f>
        <v/>
      </c>
    </row>
    <row r="23">
      <c r="B23" s="35" t="inlineStr">
        <is>
          <t>SS Rate - Self-Employed</t>
        </is>
      </c>
      <c r="C23" s="45">
        <f>INDEX(Params_Federal!$D$66:$D$67,L14)</f>
        <v/>
      </c>
    </row>
    <row r="24">
      <c r="B24" s="35" t="inlineStr">
        <is>
          <t>Medicare Rate - Self-Employed</t>
        </is>
      </c>
      <c r="C24" s="45">
        <f>INDEX(Params_Federal!$F$66:$F$67,L14)</f>
        <v/>
      </c>
      <c r="K24" s="46" t="inlineStr">
        <is>
          <t>Federal Ordinary Brackets</t>
        </is>
      </c>
    </row>
    <row r="25">
      <c r="B25" s="35" t="inlineStr">
        <is>
          <t>SE Net Earnings Factor</t>
        </is>
      </c>
      <c r="C25" s="45">
        <f>INDEX(Params_Federal!$G$66:$G$67,L14)</f>
        <v/>
      </c>
      <c r="K25" s="47">
        <f>INDEX(Params_Federal!D$6:D$1005,L7)</f>
        <v/>
      </c>
      <c r="L25" s="48">
        <f>INDEX(Params_Federal!E$6:E$1005,L7)</f>
        <v/>
      </c>
      <c r="M25" s="48">
        <f>INDEX(Params_Federal!F$6:F$1005,L7)</f>
        <v/>
      </c>
    </row>
    <row r="26">
      <c r="B26" s="35" t="inlineStr">
        <is>
          <t>Net SE Earnings - Individual 1</t>
        </is>
      </c>
      <c r="C26" s="36">
        <f>Calc1_Inputs!C20*C25</f>
        <v/>
      </c>
      <c r="K26" s="47">
        <f>INDEX(Params_Federal!G$6:G$1005,L7)</f>
        <v/>
      </c>
      <c r="L26" s="48">
        <f>INDEX(Params_Federal!H$6:H$1005,L7)</f>
        <v/>
      </c>
      <c r="M26" s="48">
        <f>INDEX(Params_Federal!I$6:I$1005,L7)</f>
        <v/>
      </c>
    </row>
    <row r="27">
      <c r="B27" s="35" t="inlineStr">
        <is>
          <t>Net SE Earnings - Individual 2</t>
        </is>
      </c>
      <c r="C27" s="36">
        <f>Calc1_Inputs!D20*C25</f>
        <v/>
      </c>
      <c r="K27" s="47">
        <f>INDEX(Params_Federal!J$6:J$1005,L7)</f>
        <v/>
      </c>
      <c r="L27" s="48">
        <f>INDEX(Params_Federal!K$6:K$1005,L7)</f>
        <v/>
      </c>
      <c r="M27" s="48">
        <f>INDEX(Params_Federal!L$6:L$1005,L7)</f>
        <v/>
      </c>
    </row>
    <row r="28">
      <c r="B28" s="35" t="inlineStr">
        <is>
          <t>SS-Taxable SE Earnings - Individual 1 (after wages already subject to SS)</t>
        </is>
      </c>
      <c r="C28" s="36">
        <f>MAX(0,MIN(C26,C22-C18))</f>
        <v/>
      </c>
      <c r="K28" s="47">
        <f>INDEX(Params_Federal!M$6:M$1005,L7)</f>
        <v/>
      </c>
      <c r="L28" s="48">
        <f>INDEX(Params_Federal!N$6:N$1005,L7)</f>
        <v/>
      </c>
      <c r="M28" s="48">
        <f>INDEX(Params_Federal!O$6:O$1005,L7)</f>
        <v/>
      </c>
    </row>
    <row r="29">
      <c r="B29" s="35" t="inlineStr">
        <is>
          <t>SS-Taxable SE Earnings - Individual 2 (after wages already subject to SS)</t>
        </is>
      </c>
      <c r="C29" s="36">
        <f>MAX(0,MIN(C27,C22-C19))</f>
        <v/>
      </c>
      <c r="K29" s="47">
        <f>INDEX(Params_Federal!P$6:P$1005,L7)</f>
        <v/>
      </c>
      <c r="L29" s="48">
        <f>INDEX(Params_Federal!Q$6:Q$1005,L7)</f>
        <v/>
      </c>
      <c r="M29" s="48">
        <f>INDEX(Params_Federal!R$6:R$1005,L7)</f>
        <v/>
      </c>
    </row>
    <row r="30">
      <c r="B30" s="35" t="inlineStr">
        <is>
          <t>Self-Employment Tax - Individual 1</t>
        </is>
      </c>
      <c r="C30" s="36">
        <f>(C28*C23)+(C26*C24)</f>
        <v/>
      </c>
      <c r="K30" s="47">
        <f>INDEX(Params_Federal!S$6:S$1005,L7)</f>
        <v/>
      </c>
      <c r="L30" s="48">
        <f>INDEX(Params_Federal!T$6:T$1005,L7)</f>
        <v/>
      </c>
      <c r="M30" s="48">
        <f>INDEX(Params_Federal!U$6:U$1005,L7)</f>
        <v/>
      </c>
    </row>
    <row r="31">
      <c r="B31" s="35" t="inlineStr">
        <is>
          <t>Self-Employment Tax - Individual 2</t>
        </is>
      </c>
      <c r="C31" s="36">
        <f>(C29*C23)+(C27*C24)</f>
        <v/>
      </c>
      <c r="K31" s="47">
        <f>INDEX(Params_Federal!V$6:V$1005,L7)</f>
        <v/>
      </c>
      <c r="L31" s="48">
        <f>INDEX(Params_Federal!W$6:W$1005,L7)</f>
        <v/>
      </c>
      <c r="M31" s="48">
        <f>INDEX(Params_Federal!X$6:X$1005,L7)</f>
        <v/>
      </c>
    </row>
    <row r="32">
      <c r="B32" s="33" t="inlineStr">
        <is>
          <t>Total Self-Employment Tax</t>
        </is>
      </c>
      <c r="C32" s="49">
        <f>(C30+C31)</f>
        <v/>
      </c>
    </row>
    <row r="33">
      <c r="B33" s="35" t="inlineStr">
        <is>
          <t>Deductible Half of Self-Employment Tax (adjustment to income)</t>
        </is>
      </c>
      <c r="C33" s="36">
        <f>C32/2</f>
        <v/>
      </c>
      <c r="K33" s="46" t="inlineStr">
        <is>
          <t>LTCG / QDI Brackets</t>
        </is>
      </c>
    </row>
    <row r="34">
      <c r="K34" s="47">
        <f>INDEX(Params_Federal!D$19:D$1018,L8)</f>
        <v/>
      </c>
      <c r="L34" s="48">
        <f>INDEX(Params_Federal!E$19:E$1018,L8)</f>
        <v/>
      </c>
      <c r="M34" s="48">
        <f>INDEX(Params_Federal!F$19:F$1018,L8)</f>
        <v/>
      </c>
    </row>
    <row r="35" ht="18" customHeight="1">
      <c r="A35" s="6" t="inlineStr">
        <is>
          <t>4. Gross Income</t>
        </is>
      </c>
      <c r="B35" s="7" t="n"/>
      <c r="C35" s="7" t="n"/>
      <c r="D35" s="7" t="n"/>
      <c r="K35" s="47">
        <f>INDEX(Params_Federal!G$19:G$1018,L8)</f>
        <v/>
      </c>
      <c r="L35" s="48">
        <f>INDEX(Params_Federal!H$19:H$1018,L8)</f>
        <v/>
      </c>
      <c r="M35" s="48">
        <f>INDEX(Params_Federal!I$19:I$1018,L8)</f>
        <v/>
      </c>
    </row>
    <row r="36">
      <c r="B36" s="35" t="inlineStr">
        <is>
          <t>Total Household Earned &amp; Other Income</t>
        </is>
      </c>
      <c r="C36" s="36">
        <f>Calc1_Inputs!E30</f>
        <v/>
      </c>
      <c r="K36" s="47">
        <f>INDEX(Params_Federal!J$19:J$1018,L8)</f>
        <v/>
      </c>
      <c r="L36" s="48">
        <f>INDEX(Params_Federal!K$19:K$1018,L8)</f>
        <v/>
      </c>
      <c r="M36" s="48">
        <f>INDEX(Params_Federal!L$19:L$1018,L8)</f>
        <v/>
      </c>
    </row>
    <row r="37">
      <c r="B37" s="35" t="inlineStr">
        <is>
          <t>Qualified Dividends</t>
        </is>
      </c>
      <c r="C37" s="36">
        <f>Calc1_Inputs!C46</f>
        <v/>
      </c>
    </row>
    <row r="38">
      <c r="B38" s="35" t="inlineStr">
        <is>
          <t>Ordinary Dividends</t>
        </is>
      </c>
      <c r="C38" s="36">
        <f>Calc1_Inputs!C47</f>
        <v/>
      </c>
      <c r="K38" s="46" t="inlineStr">
        <is>
          <t>State Brackets</t>
        </is>
      </c>
    </row>
    <row r="39">
      <c r="B39" s="35" t="inlineStr">
        <is>
          <t>Taxable Interest</t>
        </is>
      </c>
      <c r="C39" s="36">
        <f>Calc1_Inputs!C48</f>
        <v/>
      </c>
      <c r="K39" s="47">
        <f>INDEX(Params_State!D$41:D$1040,L19)</f>
        <v/>
      </c>
      <c r="L39" s="48">
        <f>INDEX(Params_State!E$41:E$1040,L19)</f>
        <v/>
      </c>
      <c r="M39" s="48">
        <f>INDEX(Params_State!F$41:F$1040,L19)</f>
        <v/>
      </c>
    </row>
    <row r="40">
      <c r="B40" s="35" t="inlineStr">
        <is>
          <t>REIT Distributions</t>
        </is>
      </c>
      <c r="C40" s="36">
        <f>Calc1_Inputs!C55</f>
        <v/>
      </c>
      <c r="K40" s="47">
        <f>INDEX(Params_State!G$41:G$1040,L19)</f>
        <v/>
      </c>
      <c r="L40" s="48">
        <f>INDEX(Params_State!H$41:H$1040,L19)</f>
        <v/>
      </c>
      <c r="M40" s="48">
        <f>INDEX(Params_State!I$41:I$1040,L19)</f>
        <v/>
      </c>
    </row>
    <row r="41">
      <c r="B41" s="35" t="inlineStr">
        <is>
          <t>Partnership / K-1 Investment Income</t>
        </is>
      </c>
      <c r="C41" s="36">
        <f>Calc1_Inputs!C56</f>
        <v/>
      </c>
      <c r="K41" s="47">
        <f>INDEX(Params_State!J$41:J$1040,L19)</f>
        <v/>
      </c>
      <c r="L41" s="48">
        <f>INDEX(Params_State!K$41:K$1040,L19)</f>
        <v/>
      </c>
      <c r="M41" s="48">
        <f>INDEX(Params_State!L$41:L$1040,L19)</f>
        <v/>
      </c>
    </row>
    <row r="42">
      <c r="B42" s="35" t="inlineStr">
        <is>
          <t>Other Investment Income</t>
        </is>
      </c>
      <c r="C42" s="36">
        <f>Calc1_Inputs!C57</f>
        <v/>
      </c>
      <c r="K42" s="47">
        <f>INDEX(Params_State!M$41:M$1040,L19)</f>
        <v/>
      </c>
      <c r="L42" s="48">
        <f>INDEX(Params_State!N$41:N$1040,L19)</f>
        <v/>
      </c>
      <c r="M42" s="48">
        <f>INDEX(Params_State!O$41:O$1040,L19)</f>
        <v/>
      </c>
    </row>
    <row r="43">
      <c r="B43" s="35" t="inlineStr">
        <is>
          <t>Net Capital Gain (Ordinary + Preferential)</t>
        </is>
      </c>
      <c r="C43" s="36">
        <f>(C9+C10)</f>
        <v/>
      </c>
      <c r="K43" s="47">
        <f>INDEX(Params_State!P$41:P$1040,L19)</f>
        <v/>
      </c>
      <c r="L43" s="48">
        <f>INDEX(Params_State!Q$41:Q$1040,L19)</f>
        <v/>
      </c>
      <c r="M43" s="48">
        <f>INDEX(Params_State!R$41:R$1040,L19)</f>
        <v/>
      </c>
    </row>
    <row r="44">
      <c r="B44" s="33" t="inlineStr">
        <is>
          <t>Gross Income</t>
        </is>
      </c>
      <c r="C44" s="49">
        <f>(C36+C37+C38+C39+C40+C41+C42+C43)</f>
        <v/>
      </c>
      <c r="K44" s="47">
        <f>INDEX(Params_State!S$41:S$1040,L19)</f>
        <v/>
      </c>
      <c r="L44" s="48">
        <f>INDEX(Params_State!T$41:T$1040,L19)</f>
        <v/>
      </c>
      <c r="M44" s="48">
        <f>INDEX(Params_State!U$41:U$1040,L19)</f>
        <v/>
      </c>
    </row>
    <row r="45">
      <c r="K45" s="47">
        <f>INDEX(Params_State!V$41:V$1040,L19)</f>
        <v/>
      </c>
      <c r="L45" s="48">
        <f>INDEX(Params_State!W$41:W$1040,L19)</f>
        <v/>
      </c>
      <c r="M45" s="48">
        <f>INDEX(Params_State!X$41:X$1040,L19)</f>
        <v/>
      </c>
    </row>
    <row r="46" ht="18" customHeight="1">
      <c r="A46" s="6" t="inlineStr">
        <is>
          <t>5. Adjustments &amp; Adjusted Gross Income (AGI)</t>
        </is>
      </c>
      <c r="B46" s="7" t="n"/>
      <c r="C46" s="7" t="n"/>
      <c r="D46" s="7" t="n"/>
      <c r="K46" s="47">
        <f>INDEX(Params_State!Y$41:Y$1040,L19)</f>
        <v/>
      </c>
      <c r="L46" s="48">
        <f>INDEX(Params_State!Z$41:Z$1040,L19)</f>
        <v/>
      </c>
      <c r="M46" s="48">
        <f>INDEX(Params_State!AA$41:AA$1040,L19)</f>
        <v/>
      </c>
    </row>
    <row r="47">
      <c r="B47" s="35" t="inlineStr">
        <is>
          <t>Deductible Pre-Tax Contributions (Federal)</t>
        </is>
      </c>
      <c r="C47" s="36">
        <f>C14</f>
        <v/>
      </c>
    </row>
    <row r="48">
      <c r="B48" s="35" t="inlineStr">
        <is>
          <t>Deductible Half of Self-Employment Tax</t>
        </is>
      </c>
      <c r="C48" s="36">
        <f>C33</f>
        <v/>
      </c>
    </row>
    <row r="49">
      <c r="B49" s="33" t="inlineStr">
        <is>
          <t>Total Adjustments to Income</t>
        </is>
      </c>
      <c r="C49" s="43">
        <f>(C14+C33)</f>
        <v/>
      </c>
    </row>
    <row r="50">
      <c r="B50" s="33" t="inlineStr">
        <is>
          <t>Adjusted Gross Income (AGI)</t>
        </is>
      </c>
      <c r="C50" s="49">
        <f>(C44-C49)</f>
        <v/>
      </c>
    </row>
    <row r="51">
      <c r="B51" s="35" t="inlineStr">
        <is>
          <t>Modified AGI (MAGI, approx. = AGI for NIIT purposes)</t>
        </is>
      </c>
      <c r="C51" s="36">
        <f>C50</f>
        <v/>
      </c>
    </row>
    <row r="53" ht="18" customHeight="1">
      <c r="A53" s="6" t="inlineStr">
        <is>
          <t>6. Deduction: Standard vs. Itemized</t>
        </is>
      </c>
      <c r="B53" s="7" t="n"/>
      <c r="C53" s="7" t="n"/>
      <c r="D53" s="7" t="n"/>
    </row>
    <row r="54">
      <c r="B54" s="35" t="inlineStr">
        <is>
          <t>Standard Deduction (base)</t>
        </is>
      </c>
      <c r="C54" s="36">
        <f>INDEX(Params_Federal!$D$32:$D$41,L9)</f>
        <v/>
      </c>
    </row>
    <row r="55">
      <c r="B55" s="35" t="inlineStr">
        <is>
          <t>Additional Standard Deduction (65+/Blind)</t>
        </is>
      </c>
      <c r="C55" s="36">
        <f>Calc1_Inputs!C13*INDEX(Params_Federal!$E$32:$E$41,L9)</f>
        <v/>
      </c>
    </row>
    <row r="56">
      <c r="B56" s="33" t="inlineStr">
        <is>
          <t>Total Standard Deduction</t>
        </is>
      </c>
      <c r="C56" s="43">
        <f>(C54+C55)</f>
        <v/>
      </c>
    </row>
    <row r="57">
      <c r="B57" s="35" t="inlineStr">
        <is>
          <t>SALT Cap (selected tax year/status)</t>
        </is>
      </c>
      <c r="C57" s="36">
        <f>INDEX(Params_Federal!$D$53:$D$62,L10)</f>
        <v/>
      </c>
    </row>
    <row r="58">
      <c r="B58" s="35" t="inlineStr">
        <is>
          <t>State &amp; Local Taxes Paid, Capped at SALT Limit</t>
        </is>
      </c>
      <c r="C58" s="36">
        <f>MIN(Calc1_Inputs!C62,C57)</f>
        <v/>
      </c>
    </row>
    <row r="59">
      <c r="B59" s="35" t="inlineStr">
        <is>
          <t>Medical Expenses Deductible (excess over 7.5% of AGI)</t>
        </is>
      </c>
      <c r="C59" s="36">
        <f>MAX(0,Calc1_Inputs!C64-0.075*C50)</f>
        <v/>
      </c>
    </row>
    <row r="60">
      <c r="B60" s="35" t="inlineStr">
        <is>
          <t>Mortgage Interest</t>
        </is>
      </c>
      <c r="C60" s="36">
        <f>Calc1_Inputs!C61</f>
        <v/>
      </c>
    </row>
    <row r="61">
      <c r="B61" s="35" t="inlineStr">
        <is>
          <t>Charitable Contributions</t>
        </is>
      </c>
      <c r="C61" s="36">
        <f>Calc1_Inputs!C63</f>
        <v/>
      </c>
    </row>
    <row r="62">
      <c r="B62" s="35" t="inlineStr">
        <is>
          <t>Other Deductible Expenses</t>
        </is>
      </c>
      <c r="C62" s="36">
        <f>Calc1_Inputs!C65</f>
        <v/>
      </c>
    </row>
    <row r="63">
      <c r="B63" s="33" t="inlineStr">
        <is>
          <t>Total Itemized Deductions</t>
        </is>
      </c>
      <c r="C63" s="43">
        <f>(C58+C59+C60+C61+C62)</f>
        <v/>
      </c>
    </row>
    <row r="64">
      <c r="B64" s="35" t="inlineStr">
        <is>
          <t>Deduction Method Selected</t>
        </is>
      </c>
      <c r="C64" s="36">
        <f>Calc1_Inputs!C60</f>
        <v/>
      </c>
    </row>
    <row r="65">
      <c r="B65" s="33" t="inlineStr">
        <is>
          <t>Deduction Used (larger of standard/itemized, per method selected)</t>
        </is>
      </c>
      <c r="C65" s="49">
        <f>IF(C64="Force Standard Deduction",C56,IF(C64="Force Itemized Deduction",C63,MAX(C56,C63)))</f>
        <v/>
      </c>
    </row>
    <row r="66">
      <c r="B66" s="35" t="inlineStr">
        <is>
          <t>Deduction Type Used</t>
        </is>
      </c>
      <c r="C66" s="36">
        <f>IF(C65=C63,"Itemized","Standard")</f>
        <v/>
      </c>
    </row>
    <row r="68" ht="18" customHeight="1">
      <c r="A68" s="6" t="inlineStr">
        <is>
          <t>7. Taxable Income - Ordinary / Preferential Split</t>
        </is>
      </c>
      <c r="B68" s="7" t="n"/>
      <c r="C68" s="7" t="n"/>
      <c r="D68" s="7" t="n"/>
    </row>
    <row r="69">
      <c r="B69" s="33" t="inlineStr">
        <is>
          <t>Total Taxable Income</t>
        </is>
      </c>
      <c r="C69" s="49">
        <f>MAX(0,C50-C65)</f>
        <v/>
      </c>
    </row>
    <row r="70">
      <c r="B70" s="33" t="inlineStr">
        <is>
          <t>Preferential-Rate Income Stacked (QDI + Net LTCG, capped at taxable income)</t>
        </is>
      </c>
      <c r="C70" s="43">
        <f>MIN(C69,MAX(0,C37+C10))</f>
        <v/>
      </c>
    </row>
    <row r="71">
      <c r="B71" s="33" t="inlineStr">
        <is>
          <t>Ordinary Taxable Income</t>
        </is>
      </c>
      <c r="C71" s="43">
        <f>MAX(0,C69-C70)</f>
        <v/>
      </c>
    </row>
    <row r="73" ht="18" customHeight="1">
      <c r="A73" s="6" t="inlineStr">
        <is>
          <t>8. Federal Tax Calculation</t>
        </is>
      </c>
      <c r="B73" s="7" t="n"/>
      <c r="C73" s="7" t="n"/>
      <c r="D73" s="7" t="n"/>
    </row>
    <row r="74">
      <c r="B74" s="33" t="inlineStr">
        <is>
          <t>Federal Ordinary Income Tax</t>
        </is>
      </c>
      <c r="C74" s="43">
        <f>SUMPRODUCT((C71&gt;$L$25:$L$31)*($K$25:$K$31)*(MIN(C71,$M$25:$M$31)-$L$25:$L$31))</f>
        <v/>
      </c>
    </row>
    <row r="75">
      <c r="B75" s="33" t="inlineStr">
        <is>
          <t>Federal Capital Gains / QDI Tax (stacked on top of ordinary income)</t>
        </is>
      </c>
      <c r="C75" s="43">
        <f>SUMPRODUCT($K$34:$K$36*(MAX(0,MIN(C69,$M$34:$M$36)-MAX(C71,$L$34:$L$36))))</f>
        <v/>
      </c>
    </row>
    <row r="76">
      <c r="B76" s="33" t="inlineStr">
        <is>
          <t>Total Federal Ordinary + Capital Gains Tax (before credits)</t>
        </is>
      </c>
      <c r="C76" s="43">
        <f>(C74+C75)</f>
        <v/>
      </c>
    </row>
    <row r="78" ht="18" customHeight="1">
      <c r="A78" s="6" t="inlineStr">
        <is>
          <t>9. Net Investment Income Tax (NIIT)</t>
        </is>
      </c>
      <c r="B78" s="7" t="n"/>
      <c r="C78" s="7" t="n"/>
      <c r="D78" s="7" t="n"/>
    </row>
    <row r="79">
      <c r="B79" s="35" t="inlineStr">
        <is>
          <t>NIIT MAGI Threshold</t>
        </is>
      </c>
      <c r="C79" s="36">
        <f>INDEX(Params_Federal!$B$45:$B$49,L12)</f>
        <v/>
      </c>
    </row>
    <row r="80">
      <c r="B80" s="35" t="inlineStr">
        <is>
          <t>Net Investment Income</t>
        </is>
      </c>
      <c r="C80" s="36">
        <f>MAX(0,C37+C38+C39+C40+C41+C42+C43)</f>
        <v/>
      </c>
    </row>
    <row r="81">
      <c r="B81" s="35" t="inlineStr">
        <is>
          <t>NIIT Rate</t>
        </is>
      </c>
      <c r="C81" s="45">
        <f>INDEX(Params_Federal!$H$66:$H$67,L14)</f>
        <v/>
      </c>
    </row>
    <row r="82">
      <c r="B82" s="33" t="inlineStr">
        <is>
          <t>Net Investment Income Tax (NIIT)</t>
        </is>
      </c>
      <c r="C82" s="49">
        <f>C81*MIN(C80,MAX(0,C51-C79))</f>
        <v/>
      </c>
    </row>
    <row r="84" ht="18" customHeight="1">
      <c r="A84" s="6" t="inlineStr">
        <is>
          <t>10. Additional Medicare Tax</t>
        </is>
      </c>
      <c r="B84" s="7" t="n"/>
      <c r="C84" s="7" t="n"/>
      <c r="D84" s="7" t="n"/>
    </row>
    <row r="85">
      <c r="B85" s="35" t="inlineStr">
        <is>
          <t>Additional Medicare Threshold</t>
        </is>
      </c>
      <c r="C85" s="36">
        <f>INDEX(Params_Federal!$C$45:$C$49,L12)</f>
        <v/>
      </c>
    </row>
    <row r="86">
      <c r="B86" s="35" t="inlineStr">
        <is>
          <t>Additional Medicare Rate</t>
        </is>
      </c>
      <c r="C86" s="45">
        <f>INDEX(Params_Federal!$I$66:$I$67,L14)</f>
        <v/>
      </c>
    </row>
    <row r="87">
      <c r="B87" s="35" t="inlineStr">
        <is>
          <t>Combined Medicare Wages + Net SE Earnings</t>
        </is>
      </c>
      <c r="C87" s="36">
        <f>(C18+C19+C26+C27)</f>
        <v/>
      </c>
    </row>
    <row r="88">
      <c r="B88" s="33" t="inlineStr">
        <is>
          <t>Additional Medicare Tax</t>
        </is>
      </c>
      <c r="C88" s="49">
        <f>C86*MAX(0,C87-C85)</f>
        <v/>
      </c>
    </row>
    <row r="90" ht="18" customHeight="1">
      <c r="A90" s="6" t="inlineStr">
        <is>
          <t>11. FICA Payroll Tax (employee share, W-2 wages)</t>
        </is>
      </c>
      <c r="B90" s="7" t="n"/>
      <c r="C90" s="7" t="n"/>
      <c r="D90" s="7" t="n"/>
    </row>
    <row r="91">
      <c r="B91" s="35" t="inlineStr">
        <is>
          <t>SS Rate - Employee</t>
        </is>
      </c>
      <c r="C91" s="45">
        <f>INDEX(Params_Federal!$C$66:$C$67,L14)</f>
        <v/>
      </c>
    </row>
    <row r="92">
      <c r="B92" s="35" t="inlineStr">
        <is>
          <t>Medicare Rate - Employee</t>
        </is>
      </c>
      <c r="C92" s="45">
        <f>INDEX(Params_Federal!$E$66:$E$67,L14)</f>
        <v/>
      </c>
    </row>
    <row r="93">
      <c r="B93" s="35" t="inlineStr">
        <is>
          <t>Social Security Tax - Individual 1</t>
        </is>
      </c>
      <c r="C93" s="36">
        <f>MIN(C18,C22)*C91</f>
        <v/>
      </c>
    </row>
    <row r="94">
      <c r="B94" s="35" t="inlineStr">
        <is>
          <t>Social Security Tax - Individual 2</t>
        </is>
      </c>
      <c r="C94" s="36">
        <f>MIN(C19,C22)*C91</f>
        <v/>
      </c>
    </row>
    <row r="95">
      <c r="B95" s="35" t="inlineStr">
        <is>
          <t>Medicare Tax - Individual 1</t>
        </is>
      </c>
      <c r="C95" s="36">
        <f>C18*C92</f>
        <v/>
      </c>
    </row>
    <row r="96">
      <c r="B96" s="35" t="inlineStr">
        <is>
          <t>Medicare Tax - Individual 2</t>
        </is>
      </c>
      <c r="C96" s="36">
        <f>C19*C92</f>
        <v/>
      </c>
    </row>
    <row r="97">
      <c r="B97" s="33" t="inlineStr">
        <is>
          <t>Total FICA Payroll Tax (excl. Additional Medicare)</t>
        </is>
      </c>
      <c r="C97" s="43">
        <f>(C93+C94+C95+C96)</f>
        <v/>
      </c>
    </row>
    <row r="98">
      <c r="B98" s="33" t="inlineStr">
        <is>
          <t>Total Payroll Taxes (FICA + Self-Employment + Additional Medicare)</t>
        </is>
      </c>
      <c r="C98" s="49">
        <f>(C97+C32+C88)</f>
        <v/>
      </c>
    </row>
    <row r="100" ht="18" customHeight="1">
      <c r="A100" s="6" t="inlineStr">
        <is>
          <t>12. Tax Credits</t>
        </is>
      </c>
      <c r="B100" s="7" t="n"/>
      <c r="C100" s="7" t="n"/>
      <c r="D100" s="7" t="n"/>
    </row>
    <row r="101">
      <c r="B101" s="35" t="inlineStr">
        <is>
          <t>Child Tax Credit - Amount per Child</t>
        </is>
      </c>
      <c r="C101" s="36">
        <f>INDEX(Params_Federal!$B$76:$B$77,L13)</f>
        <v/>
      </c>
    </row>
    <row r="102">
      <c r="B102" s="35" t="inlineStr">
        <is>
          <t>Child Tax Credit - Phaseout Threshold</t>
        </is>
      </c>
      <c r="C102" s="36">
        <f>IF(OR(Calc1_Inputs!C5="Married Filing Jointly",Calc1_Inputs!C5="Qualifying Surviving Spouse"),INDEX(Params_Federal!$E$76:$E$77,L13),INDEX(Params_Federal!$D$76:$D$77,L13))</f>
        <v/>
      </c>
    </row>
    <row r="103">
      <c r="B103" s="35" t="inlineStr">
        <is>
          <t>Child Tax Credit - Phaseout Rate</t>
        </is>
      </c>
      <c r="C103" s="50">
        <f>INDEX(Params_Federal!$F$76:$F$77,L13)</f>
        <v/>
      </c>
    </row>
    <row r="104">
      <c r="B104" s="35" t="inlineStr">
        <is>
          <t>Child Tax Credit (before phaseout)</t>
        </is>
      </c>
      <c r="C104" s="36">
        <f>Calc1_Inputs!C11*C101</f>
        <v/>
      </c>
    </row>
    <row r="105">
      <c r="B105" s="33" t="inlineStr">
        <is>
          <t>Child Tax Credit (after phaseout, approximate)</t>
        </is>
      </c>
      <c r="C105" s="43">
        <f>MAX(0,C104-C103*MAX(0,C50-C102))</f>
        <v/>
      </c>
    </row>
    <row r="106">
      <c r="B106" s="35" t="inlineStr">
        <is>
          <t>Dependent Care - Max Eligible Expense</t>
        </is>
      </c>
      <c r="C106" s="36">
        <f>IF(Calc1_Inputs!C69&gt;=2,Params_Federal!$B$81,IF(Calc1_Inputs!C69=1,Params_Federal!$A$81,0))</f>
        <v/>
      </c>
    </row>
    <row r="107">
      <c r="B107" s="35" t="inlineStr">
        <is>
          <t>Dependent Care - Eligible Expense</t>
        </is>
      </c>
      <c r="C107" s="36">
        <f>MIN(Calc1_Inputs!C68,C106)</f>
        <v/>
      </c>
    </row>
    <row r="108">
      <c r="B108" s="35" t="inlineStr">
        <is>
          <t>Dependent Care Credit Rate (AGI-based, approx.)</t>
        </is>
      </c>
      <c r="C108" s="50">
        <f>IF(C50&lt;=Params_Federal!$E$81,Params_Federal!$C$81,IF(C50&gt;=Params_Federal!$F$81,Params_Federal!$D$81,Params_Federal!$C$81-(Params_Federal!$C$81-Params_Federal!$D$81)*(C50-Params_Federal!$E$81)/(Params_Federal!$F$81-Params_Federal!$E$81)))</f>
        <v/>
      </c>
    </row>
    <row r="109">
      <c r="B109" s="33" t="inlineStr">
        <is>
          <t>Child &amp; Dependent Care Credit</t>
        </is>
      </c>
      <c r="C109" s="43">
        <f>C107*C108</f>
        <v/>
      </c>
    </row>
    <row r="110">
      <c r="B110" s="35" t="inlineStr">
        <is>
          <t>Saver's Credit - Eligible Contribution (capped)</t>
        </is>
      </c>
      <c r="C110" s="36">
        <f>MIN(Calc1_Inputs!C71,INDEX(Params_Federal!$J$85:$J$94,L11))</f>
        <v/>
      </c>
    </row>
    <row r="111">
      <c r="B111" s="35" t="inlineStr">
        <is>
          <t>Saver's Credit Rate (AGI tier)</t>
        </is>
      </c>
      <c r="C111" s="50">
        <f>IF(C50&lt;=INDEX(Params_Federal!$E$85:$E$94,L11),INDEX(Params_Federal!$D$85:$D$94,L11),IF(C50&lt;=INDEX(Params_Federal!$G$85:$G$94,L11),INDEX(Params_Federal!$F$85:$F$94,L11),IF(C50&lt;=INDEX(Params_Federal!$I$85:$I$94,L11),INDEX(Params_Federal!$H$85:$H$94,L11),0)))</f>
        <v/>
      </c>
    </row>
    <row r="112">
      <c r="B112" s="33" t="inlineStr">
        <is>
          <t>Saver's Credit</t>
        </is>
      </c>
      <c r="C112" s="43">
        <f>C110*C111</f>
        <v/>
      </c>
    </row>
    <row r="113">
      <c r="B113" s="35" t="inlineStr">
        <is>
          <t>Education Credit (user estimate)</t>
        </is>
      </c>
      <c r="C113" s="36">
        <f>Calc1_Inputs!C70</f>
        <v/>
      </c>
    </row>
    <row r="114">
      <c r="B114" s="35" t="inlineStr">
        <is>
          <t>Energy-Related Credit (user estimate)</t>
        </is>
      </c>
      <c r="C114" s="36">
        <f>Calc1_Inputs!C72</f>
        <v/>
      </c>
    </row>
    <row r="115">
      <c r="B115" s="35" t="inlineStr">
        <is>
          <t>Other Applicable Credits (user estimate)</t>
        </is>
      </c>
      <c r="C115" s="36">
        <f>Calc1_Inputs!C73</f>
        <v/>
      </c>
    </row>
    <row r="116">
      <c r="B116" s="33" t="inlineStr">
        <is>
          <t>Total Tax Credits</t>
        </is>
      </c>
      <c r="C116" s="49">
        <f>(C105+C109+C112+C113+C114+C115)</f>
        <v/>
      </c>
    </row>
    <row r="118" ht="18" customHeight="1">
      <c r="A118" s="6" t="inlineStr">
        <is>
          <t>13. State Income Tax</t>
        </is>
      </c>
      <c r="B118" s="7" t="n"/>
      <c r="C118" s="7" t="n"/>
      <c r="D118" s="7" t="n"/>
    </row>
    <row r="119">
      <c r="B119" s="35" t="inlineStr">
        <is>
          <t>State Selected</t>
        </is>
      </c>
      <c r="C119" s="36">
        <f>L15</f>
        <v/>
      </c>
    </row>
    <row r="120">
      <c r="B120" s="35" t="inlineStr">
        <is>
          <t>SS Income Taxable at State Level?</t>
        </is>
      </c>
      <c r="C120" s="36">
        <f>INDEX(Params_State!$D$6:$D$37,L20)</f>
        <v/>
      </c>
    </row>
    <row r="121">
      <c r="B121" s="35" t="inlineStr">
        <is>
          <t>Retirement Income Exempt at State Level?</t>
        </is>
      </c>
      <c r="C121" s="36">
        <f>INDEX(Params_State!$E$6:$E$37,L20)</f>
        <v/>
      </c>
    </row>
    <row r="122">
      <c r="B122" s="35" t="inlineStr">
        <is>
          <t>State AGI (federal AGI adjusted for state contribution treatment + muni interest addback)</t>
        </is>
      </c>
      <c r="C122" s="36">
        <f>(C50-C14+C15+Calc1_Inputs!C49)</f>
        <v/>
      </c>
    </row>
    <row r="123">
      <c r="B123" s="35" t="inlineStr">
        <is>
          <t>Less: Social Security Exclusion (if not state-taxable)</t>
        </is>
      </c>
      <c r="C123" s="36">
        <f>IF(C120="No",Calc1_Inputs!C25,0)</f>
        <v/>
      </c>
    </row>
    <row r="124">
      <c r="B124" s="35" t="inlineStr">
        <is>
          <t>Less: Retirement Income Exclusion (if state-exempt)</t>
        </is>
      </c>
      <c r="C124" s="36">
        <f>IF(C121="Yes",Calc1_Inputs!C24+Calc1_Inputs!C26+Calc1_Inputs!C27+Calc1_Inputs!C28,0)</f>
        <v/>
      </c>
    </row>
    <row r="125">
      <c r="B125" s="35" t="inlineStr">
        <is>
          <t>State Standard Deduction</t>
        </is>
      </c>
      <c r="C125" s="36">
        <f>IF(L17="MFJ",INDEX(Params_State!$G$6:$G$37,L20),INDEX(Params_State!$F$6:$F$37,L20))</f>
        <v/>
      </c>
    </row>
    <row r="126">
      <c r="B126" s="33" t="inlineStr">
        <is>
          <t>State Taxable Income</t>
        </is>
      </c>
      <c r="C126" s="43">
        <f>MAX(0,C122-C123-C124-C125)</f>
        <v/>
      </c>
    </row>
    <row r="127">
      <c r="B127" s="33" t="inlineStr">
        <is>
          <t>State Income Tax</t>
        </is>
      </c>
      <c r="C127" s="49">
        <f>IF(L16="OTHER",Calc1_Inputs!C8*C126,SUMPRODUCT((C126&gt;$L$39:$L$46)*($K$39:$K$46)*(MIN(C126,$M$39:$M$46)-$L$39:$L$46)))</f>
        <v/>
      </c>
    </row>
    <row r="129" ht="18" customHeight="1">
      <c r="A129" s="6" t="inlineStr">
        <is>
          <t>14. Local Income Tax</t>
        </is>
      </c>
      <c r="B129" s="7" t="n"/>
      <c r="C129" s="7" t="n"/>
      <c r="D129" s="7" t="n"/>
    </row>
    <row r="130">
      <c r="B130" s="35" t="inlineStr">
        <is>
          <t>Locality Selected</t>
        </is>
      </c>
      <c r="C130" s="36">
        <f>L21</f>
        <v/>
      </c>
    </row>
    <row r="131">
      <c r="B131" s="35" t="inlineStr">
        <is>
          <t>Local Tax Base Type</t>
        </is>
      </c>
      <c r="C131" s="36">
        <f>INDEX(Params_Local!$D$6:$D$19,L22)</f>
        <v/>
      </c>
    </row>
    <row r="132">
      <c r="B132" s="35" t="inlineStr">
        <is>
          <t>Local Tax Rate</t>
        </is>
      </c>
      <c r="C132" s="45">
        <f>IF(C131="Manual",Calc1_Inputs!C10,INDEX(Params_Local!$E$6:$E$19,L22))</f>
        <v/>
      </c>
    </row>
    <row r="133">
      <c r="B133" s="35" t="inlineStr">
        <is>
          <t>Earned Income Base (wages + SE income)</t>
        </is>
      </c>
      <c r="C133" s="36">
        <f>(Calc1_Inputs!E17+Calc1_Inputs!E18+Calc1_Inputs!E19+Calc1_Inputs!E20)</f>
        <v/>
      </c>
    </row>
    <row r="134">
      <c r="B134" s="33" t="inlineStr">
        <is>
          <t>Local Income Tax</t>
        </is>
      </c>
      <c r="C134" s="49">
        <f>IF(OR(C131="None"),0,IF(C131="All",C132*C69,IF(C131="PctState",C132*C127,C132*C133)))</f>
        <v/>
      </c>
    </row>
    <row r="136" ht="18" customHeight="1">
      <c r="A136" s="6" t="inlineStr">
        <is>
          <t>15. Total Tax Summary &amp; Rates</t>
        </is>
      </c>
      <c r="B136" s="7" t="n"/>
      <c r="C136" s="7" t="n"/>
      <c r="D136" s="7" t="n"/>
    </row>
    <row r="137">
      <c r="B137" s="51" t="inlineStr">
        <is>
          <t>Estimated Total Tax (Federal + Payroll + State + Local, net of credits)</t>
        </is>
      </c>
      <c r="C137" s="49">
        <f>MAX(0,C74+C75+C82+C98+C127+C134-C116)</f>
        <v/>
      </c>
    </row>
    <row r="138">
      <c r="B138" s="35" t="inlineStr">
        <is>
          <t>Effective Tax Rate (Total Tax / Gross Income)</t>
        </is>
      </c>
      <c r="C138" s="50">
        <f>IFERROR(C137/C44,0)</f>
        <v/>
      </c>
    </row>
    <row r="139">
      <c r="B139" s="35" t="inlineStr">
        <is>
          <t>Marginal Federal Ordinary Tax Rate</t>
        </is>
      </c>
      <c r="C139" s="50">
        <f>IFERROR(INDEX($K$25:$K$31,MATCH(C69,$L$25:$L$31,1)),0)</f>
        <v/>
      </c>
    </row>
    <row r="140">
      <c r="B140" s="35" t="inlineStr">
        <is>
          <t>Marginal State Tax Rate</t>
        </is>
      </c>
      <c r="C140" s="50">
        <f>IF(L16="OTHER",Calc1_Inputs!C8,IFERROR(INDEX($K$39:$K$46,MATCH(C126,$L$39:$L$46,1)),0))</f>
        <v/>
      </c>
    </row>
    <row r="141">
      <c r="B141" s="35" t="inlineStr">
        <is>
          <t>Estimated Monthly Tax</t>
        </is>
      </c>
      <c r="C141" s="36">
        <f>C137/12</f>
        <v/>
      </c>
    </row>
    <row r="142">
      <c r="B142" s="35" t="inlineStr">
        <is>
          <t>Estimated Quarterly Tax</t>
        </is>
      </c>
      <c r="C142" s="36">
        <f>C137/4</f>
        <v/>
      </c>
    </row>
    <row r="143">
      <c r="B143" s="33" t="inlineStr">
        <is>
          <t>Estimated After-Tax Income</t>
        </is>
      </c>
      <c r="C143" s="49">
        <f>(C44-C137)</f>
        <v/>
      </c>
    </row>
    <row r="144">
      <c r="B144" s="35" t="inlineStr">
        <is>
          <t>Estimated After-Tax Monthly Income</t>
        </is>
      </c>
      <c r="C144" s="36">
        <f>C143/12</f>
        <v/>
      </c>
    </row>
  </sheetData>
  <mergeCells count="18">
    <mergeCell ref="A1:D1"/>
    <mergeCell ref="A118:D118"/>
    <mergeCell ref="K3:R3"/>
    <mergeCell ref="A136:D136"/>
    <mergeCell ref="A53:D53"/>
    <mergeCell ref="A35:D35"/>
    <mergeCell ref="A4:D4"/>
    <mergeCell ref="A68:D68"/>
    <mergeCell ref="A78:D78"/>
    <mergeCell ref="A21:D21"/>
    <mergeCell ref="A100:D100"/>
    <mergeCell ref="A90:D90"/>
    <mergeCell ref="A73:D73"/>
    <mergeCell ref="A2:D2"/>
    <mergeCell ref="A129:D129"/>
    <mergeCell ref="A46:D46"/>
    <mergeCell ref="A84:D84"/>
    <mergeCell ref="A13:D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34" customWidth="1" min="2" max="2"/>
    <col width="18" customWidth="1" min="3" max="3"/>
    <col width="18" customWidth="1" min="4" max="4"/>
    <col width="18" customWidth="1" min="5" max="5"/>
    <col width="18" customWidth="1" min="6" max="6"/>
    <col width="4" customWidth="1" min="7" max="7"/>
    <col width="24" customWidth="1" min="8" max="8"/>
    <col width="16" customWidth="1" min="9" max="9"/>
  </cols>
  <sheetData>
    <row r="1" ht="28" customHeight="1">
      <c r="A1" s="19" t="inlineStr">
        <is>
          <t>CALCULATOR 1: COMPLETE TAX ESTIMATOR - RESULTS</t>
        </is>
      </c>
    </row>
    <row r="2">
      <c r="A2" s="52" t="inlineStr">
        <is>
          <t>For planning purposes only - not tax advice. See Assumptions_Disclaimer tab.</t>
        </is>
      </c>
    </row>
    <row r="4" ht="30" customHeight="1">
      <c r="B4" s="53" t="inlineStr">
        <is>
          <t>Estimated Total Tax</t>
        </is>
      </c>
      <c r="C4" s="53" t="inlineStr">
        <is>
          <t>Effective Tax Rate</t>
        </is>
      </c>
      <c r="D4" s="53" t="inlineStr">
        <is>
          <t>Marginal Federal Rate</t>
        </is>
      </c>
      <c r="E4" s="53" t="inlineStr">
        <is>
          <t>Estimated After-Tax Income</t>
        </is>
      </c>
      <c r="F4" s="53" t="inlineStr">
        <is>
          <t>Tax Attributable to Investments (approx.)</t>
        </is>
      </c>
    </row>
    <row r="5" ht="30" customHeight="1">
      <c r="B5" s="54">
        <f>Calc1_Engine!C137</f>
        <v/>
      </c>
      <c r="C5" s="55">
        <f>Calc1_Engine!C138</f>
        <v/>
      </c>
      <c r="D5" s="55">
        <f>Calc1_Engine!C139</f>
        <v/>
      </c>
      <c r="E5" s="54">
        <f>Calc1_Engine!C143</f>
        <v/>
      </c>
      <c r="F5" s="54">
        <f>(Calc1_Engine!C75+Calc1_Engine!C82+Calc1_Engine!C139*(Calc1_Inputs!C47+Calc1_Inputs!C48))</f>
        <v/>
      </c>
    </row>
    <row r="7" ht="18" customHeight="1">
      <c r="B7" s="6" t="inlineStr">
        <is>
          <t>Tax Summary</t>
        </is>
      </c>
      <c r="C7" s="7" t="n"/>
      <c r="D7" s="7" t="n"/>
      <c r="H7" s="56" t="inlineStr">
        <is>
          <t>Tax Component</t>
        </is>
      </c>
      <c r="I7" s="56" t="inlineStr">
        <is>
          <t>Amount</t>
        </is>
      </c>
    </row>
    <row r="8">
      <c r="B8" s="35" t="inlineStr">
        <is>
          <t>Gross Income</t>
        </is>
      </c>
      <c r="C8" s="36">
        <f>Calc1_Engine!C44</f>
        <v/>
      </c>
      <c r="H8" s="57" t="inlineStr">
        <is>
          <t>Federal Income Tax</t>
        </is>
      </c>
      <c r="I8" s="48">
        <f>Calc1_Engine!C74</f>
        <v/>
      </c>
    </row>
    <row r="9">
      <c r="B9" s="35" t="inlineStr">
        <is>
          <t>Adjustments to Income</t>
        </is>
      </c>
      <c r="C9" s="36">
        <f>-Calc1_Engine!C49</f>
        <v/>
      </c>
      <c r="H9" s="57" t="inlineStr">
        <is>
          <t>Capital Gains / QDI Tax</t>
        </is>
      </c>
      <c r="I9" s="48">
        <f>Calc1_Engine!C75</f>
        <v/>
      </c>
    </row>
    <row r="10">
      <c r="B10" s="33" t="inlineStr">
        <is>
          <t>Adjusted Gross Income (AGI)</t>
        </is>
      </c>
      <c r="C10" s="49">
        <f>Calc1_Engine!C50</f>
        <v/>
      </c>
      <c r="H10" s="57" t="inlineStr">
        <is>
          <t>NIIT</t>
        </is>
      </c>
      <c r="I10" s="48">
        <f>Calc1_Engine!C82</f>
        <v/>
      </c>
    </row>
    <row r="11">
      <c r="B11" s="35" t="inlineStr">
        <is>
          <t>Deduction (Standard or Itemized)</t>
        </is>
      </c>
      <c r="C11" s="36">
        <f>-Calc1_Engine!C65</f>
        <v/>
      </c>
      <c r="H11" s="57" t="inlineStr">
        <is>
          <t>Payroll Taxes</t>
        </is>
      </c>
      <c r="I11" s="48">
        <f>Calc1_Engine!C98</f>
        <v/>
      </c>
    </row>
    <row r="12">
      <c r="B12" s="33" t="inlineStr">
        <is>
          <t>Taxable Income</t>
        </is>
      </c>
      <c r="C12" s="49">
        <f>Calc1_Engine!C69</f>
        <v/>
      </c>
      <c r="H12" s="57" t="inlineStr">
        <is>
          <t>State Tax</t>
        </is>
      </c>
      <c r="I12" s="48">
        <f>Calc1_Engine!C127</f>
        <v/>
      </c>
    </row>
    <row r="13">
      <c r="B13" s="35" t="inlineStr">
        <is>
          <t>Federal Income Tax (ordinary)</t>
        </is>
      </c>
      <c r="C13" s="36">
        <f>Calc1_Engine!C74</f>
        <v/>
      </c>
      <c r="H13" s="57" t="inlineStr">
        <is>
          <t>Local Tax</t>
        </is>
      </c>
      <c r="I13" s="48">
        <f>Calc1_Engine!C134</f>
        <v/>
      </c>
    </row>
    <row r="14">
      <c r="B14" s="35" t="inlineStr">
        <is>
          <t>Capital Gains / QDI Tax</t>
        </is>
      </c>
      <c r="C14" s="36">
        <f>Calc1_Engine!C75</f>
        <v/>
      </c>
    </row>
    <row r="15">
      <c r="B15" s="35" t="inlineStr">
        <is>
          <t>Net Investment Income Tax (NIIT)</t>
        </is>
      </c>
      <c r="C15" s="36">
        <f>Calc1_Engine!C82</f>
        <v/>
      </c>
      <c r="H15" s="56" t="inlineStr">
        <is>
          <t>Income vs. Tax</t>
        </is>
      </c>
      <c r="I15" s="56" t="inlineStr">
        <is>
          <t>Amount</t>
        </is>
      </c>
    </row>
    <row r="16">
      <c r="B16" s="35" t="inlineStr">
        <is>
          <t>Payroll Taxes (FICA + SE + Addl. Medicare)</t>
        </is>
      </c>
      <c r="C16" s="36">
        <f>Calc1_Engine!C98</f>
        <v/>
      </c>
      <c r="H16" s="57" t="inlineStr">
        <is>
          <t>Gross Income</t>
        </is>
      </c>
      <c r="I16" s="48">
        <f>Calc1_Engine!C44</f>
        <v/>
      </c>
    </row>
    <row r="17">
      <c r="B17" s="35" t="inlineStr">
        <is>
          <t>State Tax</t>
        </is>
      </c>
      <c r="C17" s="36">
        <f>Calc1_Engine!C127</f>
        <v/>
      </c>
      <c r="H17" s="57" t="inlineStr">
        <is>
          <t>Estimated Total Tax</t>
        </is>
      </c>
      <c r="I17" s="48">
        <f>Calc1_Engine!C137</f>
        <v/>
      </c>
    </row>
    <row r="18">
      <c r="B18" s="35" t="inlineStr">
        <is>
          <t>Local Tax</t>
        </is>
      </c>
      <c r="C18" s="36">
        <f>Calc1_Engine!C134</f>
        <v/>
      </c>
      <c r="H18" s="57" t="inlineStr">
        <is>
          <t>After-Tax Income</t>
        </is>
      </c>
      <c r="I18" s="48">
        <f>Calc1_Engine!C143</f>
        <v/>
      </c>
    </row>
    <row r="19">
      <c r="B19" s="35" t="inlineStr">
        <is>
          <t>Tax Credits</t>
        </is>
      </c>
      <c r="C19" s="36">
        <f>-Calc1_Engine!C116</f>
        <v/>
      </c>
    </row>
    <row r="20">
      <c r="B20" s="33" t="inlineStr">
        <is>
          <t>Estimated Total Tax</t>
        </is>
      </c>
      <c r="C20" s="49">
        <f>Calc1_Engine!C137</f>
        <v/>
      </c>
    </row>
    <row r="21">
      <c r="B21" s="33" t="inlineStr">
        <is>
          <t>Effective Tax Rate</t>
        </is>
      </c>
      <c r="C21" s="58">
        <f>Calc1_Engine!C138</f>
        <v/>
      </c>
    </row>
    <row r="22">
      <c r="B22" s="33" t="inlineStr">
        <is>
          <t>Marginal Federal Tax Rate</t>
        </is>
      </c>
      <c r="C22" s="58">
        <f>Calc1_Engine!C139</f>
        <v/>
      </c>
    </row>
    <row r="23">
      <c r="B23" s="33" t="inlineStr">
        <is>
          <t>Marginal State Tax Rate</t>
        </is>
      </c>
      <c r="C23" s="58">
        <f>Calc1_Engine!C140</f>
        <v/>
      </c>
    </row>
    <row r="25" ht="18" customHeight="1">
      <c r="B25" s="6" t="inlineStr">
        <is>
          <t>Cash-Flow View</t>
        </is>
      </c>
      <c r="C25" s="7" t="n"/>
      <c r="D25" s="7" t="n"/>
    </row>
    <row r="26">
      <c r="B26" s="35" t="inlineStr">
        <is>
          <t>Estimated Monthly Tax</t>
        </is>
      </c>
      <c r="C26" s="43">
        <f>Calc1_Engine!C141</f>
        <v/>
      </c>
    </row>
    <row r="27">
      <c r="B27" s="35" t="inlineStr">
        <is>
          <t>Estimated Quarterly Tax</t>
        </is>
      </c>
      <c r="C27" s="43">
        <f>Calc1_Engine!C142</f>
        <v/>
      </c>
    </row>
    <row r="28">
      <c r="B28" s="35" t="inlineStr">
        <is>
          <t>Estimated After-Tax Income</t>
        </is>
      </c>
      <c r="C28" s="43">
        <f>Calc1_Engine!C143</f>
        <v/>
      </c>
    </row>
    <row r="29">
      <c r="B29" s="35" t="inlineStr">
        <is>
          <t>Estimated After-Tax Monthly Income</t>
        </is>
      </c>
      <c r="C29" s="43">
        <f>Calc1_Engine!C144</f>
        <v/>
      </c>
    </row>
  </sheetData>
  <mergeCells count="9">
    <mergeCell ref="A2:F2"/>
    <mergeCell ref="D4"/>
    <mergeCell ref="B4"/>
    <mergeCell ref="C4"/>
    <mergeCell ref="F4"/>
    <mergeCell ref="E4"/>
    <mergeCell ref="A1:F1"/>
    <mergeCell ref="B7:D7"/>
    <mergeCell ref="B25:D25"/>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37"/>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42" customWidth="1" min="2" max="2"/>
    <col width="17" customWidth="1" min="3" max="3"/>
    <col width="30" customWidth="1" min="4" max="4"/>
  </cols>
  <sheetData>
    <row r="1" ht="28" customHeight="1">
      <c r="A1" s="19" t="inlineStr">
        <is>
          <t>CALCULATOR 2: PORTFOLIO TAX ESTIMATOR - INPUTS</t>
        </is>
      </c>
    </row>
    <row r="2">
      <c r="A2" s="20" t="inlineStr">
        <is>
          <t>Enter salary (to establish the marginal bracket) and portfolio income detail. You do not need your full financial picture here.</t>
        </is>
      </c>
    </row>
    <row r="4" ht="18" customHeight="1">
      <c r="A4" s="6" t="inlineStr">
        <is>
          <t>Household Setup</t>
        </is>
      </c>
      <c r="B4" s="7" t="n"/>
      <c r="C4" s="7" t="n"/>
      <c r="D4" s="7" t="n"/>
    </row>
    <row r="5">
      <c r="B5" s="33" t="inlineStr">
        <is>
          <t>Filing Status</t>
        </is>
      </c>
      <c r="C5" s="28" t="inlineStr">
        <is>
          <t>Married Filing Jointly</t>
        </is>
      </c>
    </row>
    <row r="6">
      <c r="B6" s="33" t="inlineStr">
        <is>
          <t>Tax Year</t>
        </is>
      </c>
      <c r="C6" s="28" t="n">
        <v>2025</v>
      </c>
    </row>
    <row r="7">
      <c r="B7" s="33" t="inlineStr">
        <is>
          <t>State of Residence</t>
        </is>
      </c>
      <c r="C7" s="28" t="inlineStr">
        <is>
          <t>California</t>
        </is>
      </c>
    </row>
    <row r="8">
      <c r="B8" s="34" t="inlineStr">
        <is>
          <t>State Tax Rate if 'Other (Manual Entry)' Selected</t>
        </is>
      </c>
      <c r="C8" s="30" t="n">
        <v>0.05</v>
      </c>
    </row>
    <row r="9">
      <c r="B9" s="33" t="inlineStr">
        <is>
          <t>Annual Salary / Income - Individual 1</t>
        </is>
      </c>
      <c r="C9" s="29" t="n">
        <v>150000</v>
      </c>
    </row>
    <row r="10">
      <c r="B10" s="33" t="inlineStr">
        <is>
          <t>Annual Salary / Income - Individual 2 / Spouse</t>
        </is>
      </c>
      <c r="C10" s="29" t="n">
        <v>100000</v>
      </c>
    </row>
    <row r="12" ht="18" customHeight="1">
      <c r="A12" s="6" t="inlineStr">
        <is>
          <t>Interest Income</t>
        </is>
      </c>
      <c r="B12" s="7" t="n"/>
      <c r="C12" s="7" t="n"/>
      <c r="D12" s="7" t="n"/>
    </row>
    <row r="13">
      <c r="B13" s="35" t="inlineStr">
        <is>
          <t>Treasury Interest (federally taxable; state-exempt)</t>
        </is>
      </c>
      <c r="C13" s="29" t="n">
        <v>0</v>
      </c>
    </row>
    <row r="14">
      <c r="B14" s="35" t="inlineStr">
        <is>
          <t>Corporate Bond Interest</t>
        </is>
      </c>
      <c r="C14" s="29" t="n">
        <v>2000</v>
      </c>
    </row>
    <row r="15">
      <c r="B15" s="35" t="inlineStr">
        <is>
          <t>CD Interest</t>
        </is>
      </c>
      <c r="C15" s="29" t="n">
        <v>1500</v>
      </c>
    </row>
    <row r="16">
      <c r="B16" s="35" t="inlineStr">
        <is>
          <t>Savings Account Interest</t>
        </is>
      </c>
      <c r="C16" s="29" t="n">
        <v>1500</v>
      </c>
    </row>
    <row r="17">
      <c r="B17" s="35" t="inlineStr">
        <is>
          <t>Other Taxable Interest</t>
        </is>
      </c>
      <c r="C17" s="29" t="n">
        <v>0</v>
      </c>
    </row>
    <row r="18">
      <c r="B18" s="35" t="inlineStr">
        <is>
          <t>Tax-Exempt Interest (Municipal Bonds)</t>
        </is>
      </c>
      <c r="C18" s="29" t="n">
        <v>3000</v>
      </c>
    </row>
    <row r="20" ht="18" customHeight="1">
      <c r="A20" s="6" t="inlineStr">
        <is>
          <t>Dividend Income</t>
        </is>
      </c>
      <c r="B20" s="7" t="n"/>
      <c r="C20" s="7" t="n"/>
      <c r="D20" s="7" t="n"/>
    </row>
    <row r="21">
      <c r="B21" s="35" t="inlineStr">
        <is>
          <t>Qualified Dividends</t>
        </is>
      </c>
      <c r="C21" s="29" t="n">
        <v>8000</v>
      </c>
    </row>
    <row r="22">
      <c r="B22" s="35" t="inlineStr">
        <is>
          <t>Ordinary Dividends</t>
        </is>
      </c>
      <c r="C22" s="29" t="n">
        <v>4000</v>
      </c>
    </row>
    <row r="23">
      <c r="B23" s="35" t="inlineStr">
        <is>
          <t>ETF Distributions (ordinary, non-qualified portion)</t>
        </is>
      </c>
      <c r="C23" s="29" t="n">
        <v>0</v>
      </c>
    </row>
    <row r="25" ht="18" customHeight="1">
      <c r="A25" s="6" t="inlineStr">
        <is>
          <t>Capital Gains &amp; Losses</t>
        </is>
      </c>
      <c r="B25" s="7" t="n"/>
      <c r="C25" s="7" t="n"/>
      <c r="D25" s="7" t="n"/>
    </row>
    <row r="26">
      <c r="B26" s="35" t="inlineStr">
        <is>
          <t>Short-Term Capital Gains</t>
        </is>
      </c>
      <c r="C26" s="29" t="n">
        <v>3000</v>
      </c>
    </row>
    <row r="27">
      <c r="B27" s="35" t="inlineStr">
        <is>
          <t>Short-Term Capital Losses (enter as positive)</t>
        </is>
      </c>
      <c r="C27" s="29" t="n">
        <v>0</v>
      </c>
    </row>
    <row r="28">
      <c r="B28" s="35" t="inlineStr">
        <is>
          <t>Long-Term Capital Gains</t>
        </is>
      </c>
      <c r="C28" s="29" t="n">
        <v>7000</v>
      </c>
    </row>
    <row r="29">
      <c r="B29" s="35" t="inlineStr">
        <is>
          <t>Mutual Fund Long-Term Capital Gain Distributions</t>
        </is>
      </c>
      <c r="C29" s="29" t="n">
        <v>0</v>
      </c>
    </row>
    <row r="30">
      <c r="B30" s="35" t="inlineStr">
        <is>
          <t>Long-Term Capital Losses (enter as positive)</t>
        </is>
      </c>
      <c r="C30" s="29" t="n">
        <v>2000</v>
      </c>
    </row>
    <row r="31">
      <c r="B31" s="35" t="inlineStr">
        <is>
          <t>Capital-Loss Carryforward (prior years, LT character)</t>
        </is>
      </c>
      <c r="C31" s="29" t="n">
        <v>0</v>
      </c>
    </row>
    <row r="33" ht="18" customHeight="1">
      <c r="A33" s="6" t="inlineStr">
        <is>
          <t>Other Investment Income</t>
        </is>
      </c>
      <c r="B33" s="7" t="n"/>
      <c r="C33" s="7" t="n"/>
      <c r="D33" s="7" t="n"/>
    </row>
    <row r="34">
      <c r="B34" s="35" t="inlineStr">
        <is>
          <t>REIT Income / Distributions</t>
        </is>
      </c>
      <c r="C34" s="29" t="n">
        <v>0</v>
      </c>
    </row>
    <row r="35">
      <c r="B35" s="35" t="inlineStr">
        <is>
          <t>Partnership / K-1 Investment Income</t>
        </is>
      </c>
      <c r="C35" s="29" t="n">
        <v>0</v>
      </c>
    </row>
    <row r="36">
      <c r="B36" s="35" t="inlineStr">
        <is>
          <t>Rental / Investment Income</t>
        </is>
      </c>
      <c r="C36" s="29" t="n">
        <v>0</v>
      </c>
    </row>
    <row r="37">
      <c r="B37" s="35" t="inlineStr">
        <is>
          <t>Other Taxable Investment Income</t>
        </is>
      </c>
      <c r="C37" s="29" t="n">
        <v>0</v>
      </c>
    </row>
  </sheetData>
  <mergeCells count="7">
    <mergeCell ref="A1:D1"/>
    <mergeCell ref="A12:D12"/>
    <mergeCell ref="A4:D4"/>
    <mergeCell ref="A20:D20"/>
    <mergeCell ref="A25:D25"/>
    <mergeCell ref="A2:D2"/>
    <mergeCell ref="A33:D33"/>
  </mergeCells>
  <dataValidations count="3">
    <dataValidation sqref="C5" showDropDown="0" showInputMessage="0" showErrorMessage="0" allowBlank="0" type="list">
      <formula1>"Single,Married Filing Jointly,Married Filing Separately,Head of Household,Qualifying Surviving Spouse"</formula1>
    </dataValidation>
    <dataValidation sqref="C6" showDropDown="0" showInputMessage="0" showErrorMessage="0" allowBlank="0" type="list">
      <formula1>"2024,2025"</formula1>
    </dataValidation>
    <dataValidation sqref="C7" showDropDown="0" showInputMessage="0" showErrorMessage="0" allowBlank="0" type="list">
      <formula1>=Params_State!$B$6:$B$37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58" customWidth="1" min="2" max="2"/>
    <col width="17" customWidth="1" min="3" max="3"/>
    <col width="30" customWidth="1" min="4" max="4"/>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28" customHeight="1">
      <c r="A1" s="59" t="inlineStr">
        <is>
          <t>CALCULATOR 2 ENGINE - INCREMENTAL PORTFOLIO TAX CALCULATION</t>
        </is>
      </c>
    </row>
    <row r="2">
      <c r="A2" s="10" t="inlineStr">
        <is>
          <t>Portfolio tax is computed incrementally: tax WITH the portfolio minus tax on salary ALONE, so gains/dividends are taxed at the bracket they actually fall into - not an average rate.</t>
        </is>
      </c>
    </row>
    <row r="3">
      <c r="K3" s="40" t="inlineStr">
        <is>
          <t>WORKING LOOKUP TABLES</t>
        </is>
      </c>
    </row>
    <row r="4" ht="18" customHeight="1">
      <c r="A4" s="6" t="inlineStr">
        <is>
          <t>1. Baseline Tax on Salary Alone (no portfolio)</t>
        </is>
      </c>
      <c r="B4" s="7" t="n"/>
      <c r="C4" s="7" t="n"/>
      <c r="D4" s="7" t="n"/>
      <c r="K4" s="41" t="inlineStr">
        <is>
          <t>Filing Status</t>
        </is>
      </c>
      <c r="L4" s="42">
        <f>'Calc2_Portfolio_Inputs'!C5</f>
        <v/>
      </c>
    </row>
    <row r="5">
      <c r="B5" s="35" t="inlineStr">
        <is>
          <t>Standard Deduction (selected tax year/status)</t>
        </is>
      </c>
      <c r="C5" s="36">
        <f>INDEX(Params_Federal!$D$32:$D$41,L9)</f>
        <v/>
      </c>
      <c r="K5" s="41" t="inlineStr">
        <is>
          <t>Tax Year</t>
        </is>
      </c>
      <c r="L5" s="42">
        <f>'Calc2_Portfolio_Inputs'!C6</f>
        <v/>
      </c>
    </row>
    <row r="6">
      <c r="B6" s="35" t="inlineStr">
        <is>
          <t>Salary - Individual 1</t>
        </is>
      </c>
      <c r="C6" s="36">
        <f>'Calc2_Portfolio_Inputs'!C9</f>
        <v/>
      </c>
      <c r="K6" s="41" t="inlineStr">
        <is>
          <t>Federal Key</t>
        </is>
      </c>
      <c r="L6" s="42">
        <f>L5&amp;"|"&amp;L4</f>
        <v/>
      </c>
    </row>
    <row r="7">
      <c r="B7" s="35" t="inlineStr">
        <is>
          <t>Salary - Individual 2</t>
        </is>
      </c>
      <c r="C7" s="36">
        <f>'Calc2_Portfolio_Inputs'!C10</f>
        <v/>
      </c>
      <c r="K7" s="41" t="inlineStr">
        <is>
          <t>Fed Bracket Row#</t>
        </is>
      </c>
      <c r="L7" s="42">
        <f>MATCH(L6,Params_Federal!$C$6:$C$15,0)</f>
        <v/>
      </c>
    </row>
    <row r="8">
      <c r="B8" s="35" t="inlineStr">
        <is>
          <t>Total Salary Income</t>
        </is>
      </c>
      <c r="C8" s="36">
        <f>(C6+C7)</f>
        <v/>
      </c>
      <c r="K8" s="41" t="inlineStr">
        <is>
          <t>LTCG Bracket Row#</t>
        </is>
      </c>
      <c r="L8" s="42">
        <f>MATCH(L6,Params_Federal!$C$19:$C$28,0)</f>
        <v/>
      </c>
    </row>
    <row r="9">
      <c r="B9" s="33" t="inlineStr">
        <is>
          <t>Baseline Taxable Income (salary only)</t>
        </is>
      </c>
      <c r="C9" s="43">
        <f>MAX(0,C8-C5)</f>
        <v/>
      </c>
      <c r="K9" s="41" t="inlineStr">
        <is>
          <t>StdDed Row#</t>
        </is>
      </c>
      <c r="L9" s="42">
        <f>MATCH(L6,Params_Federal!$C$32:$C$41,0)</f>
        <v/>
      </c>
    </row>
    <row r="10">
      <c r="B10" s="33" t="inlineStr">
        <is>
          <t>Baseline Federal Tax (salary only)</t>
        </is>
      </c>
      <c r="C10" s="49">
        <f>SUMPRODUCT((C9&gt;$L$20:$L$26)*($K$20:$K$26)*(MIN(C9,$M$20:$M$26)-$L$20:$L$26))</f>
        <v/>
      </c>
      <c r="K10" s="41" t="inlineStr">
        <is>
          <t>Status Row# (NIIT)</t>
        </is>
      </c>
      <c r="L10" s="42">
        <f>MATCH(L4,Params_Federal!$A$45:$A$49,0)</f>
        <v/>
      </c>
    </row>
    <row r="11">
      <c r="K11" s="41" t="inlineStr">
        <is>
          <t>Year Row# (Payroll)</t>
        </is>
      </c>
      <c r="L11" s="42">
        <f>MATCH(L5,Params_Federal!$A$66:$A$67,0)</f>
        <v/>
      </c>
    </row>
    <row r="12" ht="18" customHeight="1">
      <c r="A12" s="6" t="inlineStr">
        <is>
          <t>2. Portfolio Income Aggregation</t>
        </is>
      </c>
      <c r="B12" s="7" t="n"/>
      <c r="C12" s="7" t="n"/>
      <c r="D12" s="7" t="n"/>
      <c r="K12" s="41" t="inlineStr">
        <is>
          <t>State Name</t>
        </is>
      </c>
      <c r="L12" s="42">
        <f>'Calc2_Portfolio_Inputs'!C7</f>
        <v/>
      </c>
    </row>
    <row r="13">
      <c r="B13" s="35" t="inlineStr">
        <is>
          <t>Total Taxable Interest (Treasury+Corp+CD+Savings+Other)</t>
        </is>
      </c>
      <c r="C13" s="36">
        <f>('Calc2_Portfolio_Inputs'!C13+'Calc2_Portfolio_Inputs'!C14+'Calc2_Portfolio_Inputs'!C15+'Calc2_Portfolio_Inputs'!C16+'Calc2_Portfolio_Inputs'!C17)</f>
        <v/>
      </c>
      <c r="K13" s="41" t="inlineStr">
        <is>
          <t>State Code</t>
        </is>
      </c>
      <c r="L13" s="42">
        <f>INDEX(Params_State!$A$6:$A$37,MATCH(L12,Params_State!$B$6:$B$37,0))</f>
        <v/>
      </c>
    </row>
    <row r="14">
      <c r="B14" s="35" t="inlineStr">
        <is>
          <t>Tax-Exempt Interest (Municipal)</t>
        </is>
      </c>
      <c r="C14" s="36">
        <f>'Calc2_Portfolio_Inputs'!C18</f>
        <v/>
      </c>
      <c r="K14" s="41" t="inlineStr">
        <is>
          <t>State Category</t>
        </is>
      </c>
      <c r="L14" s="42">
        <f>IF(OR(L4="Married Filing Jointly",L4="Qualifying Surviving Spouse"),"MFJ","Single")</f>
        <v/>
      </c>
    </row>
    <row r="15">
      <c r="B15" s="35" t="inlineStr">
        <is>
          <t>Qualified Dividends</t>
        </is>
      </c>
      <c r="C15" s="36">
        <f>'Calc2_Portfolio_Inputs'!C21</f>
        <v/>
      </c>
      <c r="K15" s="41" t="inlineStr">
        <is>
          <t>State Key</t>
        </is>
      </c>
      <c r="L15" s="42">
        <f>L13&amp;"|"&amp;L14</f>
        <v/>
      </c>
    </row>
    <row r="16">
      <c r="B16" s="35" t="inlineStr">
        <is>
          <t>Ordinary Dividends + ETF Distributions</t>
        </is>
      </c>
      <c r="C16" s="36">
        <f>('Calc2_Portfolio_Inputs'!C22+'Calc2_Portfolio_Inputs'!C23)</f>
        <v/>
      </c>
      <c r="K16" s="41" t="inlineStr">
        <is>
          <t>State Bracket Row#</t>
        </is>
      </c>
      <c r="L16" s="42">
        <f>MATCH(L15,Params_State!$C$41:$C$104,0)</f>
        <v/>
      </c>
    </row>
    <row r="17">
      <c r="B17" s="35" t="inlineStr">
        <is>
          <t>REIT + K-1 + Rental + Other Investment Income</t>
        </is>
      </c>
      <c r="C17" s="36">
        <f>('Calc2_Portfolio_Inputs'!C34+'Calc2_Portfolio_Inputs'!C35+'Calc2_Portfolio_Inputs'!C36+'Calc2_Portfolio_Inputs'!C37)</f>
        <v/>
      </c>
      <c r="K17" s="41" t="inlineStr">
        <is>
          <t>State Master Row#</t>
        </is>
      </c>
      <c r="L17" s="42">
        <f>MATCH(L13,Params_State!$A$6:$A$37,0)</f>
        <v/>
      </c>
    </row>
    <row r="18">
      <c r="B18" s="33" t="inlineStr">
        <is>
          <t>Ordinary-Taxed Investment Income (Interest + Ord. Div + Other)</t>
        </is>
      </c>
      <c r="C18" s="43">
        <f>(C13+C16+C17)</f>
        <v/>
      </c>
    </row>
    <row r="19">
      <c r="K19" s="46" t="inlineStr">
        <is>
          <t>Federal Ordinary Brackets</t>
        </is>
      </c>
    </row>
    <row r="20" ht="18" customHeight="1">
      <c r="A20" s="6" t="inlineStr">
        <is>
          <t>3. Capital Gain / Loss Netting</t>
        </is>
      </c>
      <c r="B20" s="7" t="n"/>
      <c r="C20" s="7" t="n"/>
      <c r="D20" s="7" t="n"/>
      <c r="K20" s="47">
        <f>INDEX(Params_Federal!D$6:D$1005,L7)</f>
        <v/>
      </c>
      <c r="L20" s="48">
        <f>INDEX(Params_Federal!E$6:E$1005,L7)</f>
        <v/>
      </c>
      <c r="M20" s="48">
        <f>INDEX(Params_Federal!F$6:F$1005,L7)</f>
        <v/>
      </c>
    </row>
    <row r="21">
      <c r="B21" s="35" t="inlineStr">
        <is>
          <t>Net Short-Term Gain / (Loss)</t>
        </is>
      </c>
      <c r="C21" s="36">
        <f>('Calc2_Portfolio_Inputs'!C26-'Calc2_Portfolio_Inputs'!C27)</f>
        <v/>
      </c>
      <c r="K21" s="47">
        <f>INDEX(Params_Federal!G$6:G$1005,L7)</f>
        <v/>
      </c>
      <c r="L21" s="48">
        <f>INDEX(Params_Federal!H$6:H$1005,L7)</f>
        <v/>
      </c>
      <c r="M21" s="48">
        <f>INDEX(Params_Federal!I$6:I$1005,L7)</f>
        <v/>
      </c>
    </row>
    <row r="22">
      <c r="B22" s="35" t="inlineStr">
        <is>
          <t>Net Long-Term Gain / (Loss), incl. mutual fund distributions, net of carryforward</t>
        </is>
      </c>
      <c r="C22" s="36">
        <f>('Calc2_Portfolio_Inputs'!C28+'Calc2_Portfolio_Inputs'!C29-'Calc2_Portfolio_Inputs'!C30-'Calc2_Portfolio_Inputs'!C31)</f>
        <v/>
      </c>
      <c r="K22" s="47">
        <f>INDEX(Params_Federal!J$6:J$1005,L7)</f>
        <v/>
      </c>
      <c r="L22" s="48">
        <f>INDEX(Params_Federal!K$6:K$1005,L7)</f>
        <v/>
      </c>
      <c r="M22" s="48">
        <f>INDEX(Params_Federal!L$6:L$1005,L7)</f>
        <v/>
      </c>
    </row>
    <row r="23">
      <c r="B23" s="35" t="inlineStr">
        <is>
          <t>Combined Net Capital Gain / (Loss)</t>
        </is>
      </c>
      <c r="C23" s="36">
        <f>(C21+C22)</f>
        <v/>
      </c>
      <c r="K23" s="47">
        <f>INDEX(Params_Federal!M$6:M$1005,L7)</f>
        <v/>
      </c>
      <c r="L23" s="48">
        <f>INDEX(Params_Federal!N$6:N$1005,L7)</f>
        <v/>
      </c>
      <c r="M23" s="48">
        <f>INDEX(Params_Federal!O$6:O$1005,L7)</f>
        <v/>
      </c>
    </row>
    <row r="24">
      <c r="B24" s="35" t="inlineStr">
        <is>
          <t>Capital Loss Limit vs. Ordinary Income</t>
        </is>
      </c>
      <c r="C24" s="36">
        <f>INDEX(Params_Federal!$D$45:$D$49,L10)</f>
        <v/>
      </c>
      <c r="K24" s="47">
        <f>INDEX(Params_Federal!P$6:P$1005,L7)</f>
        <v/>
      </c>
      <c r="L24" s="48">
        <f>INDEX(Params_Federal!Q$6:Q$1005,L7)</f>
        <v/>
      </c>
      <c r="M24" s="48">
        <f>INDEX(Params_Federal!R$6:R$1005,L7)</f>
        <v/>
      </c>
    </row>
    <row r="25">
      <c r="B25" s="33" t="inlineStr">
        <is>
          <t>Ordinary-Taxed Capital Gain / (Loss Deduction, capped)</t>
        </is>
      </c>
      <c r="C25" s="43">
        <f>IF(C23&lt;=0,MAX(C23,-C24),IF(AND(C21&gt;=0,C22&gt;=0),C21,IF(AND(C21&lt;0,C22&gt;=0),0,IF(AND(C21&gt;=0,C22&lt;0),C23,0))))</f>
        <v/>
      </c>
      <c r="K25" s="47">
        <f>INDEX(Params_Federal!S$6:S$1005,L7)</f>
        <v/>
      </c>
      <c r="L25" s="48">
        <f>INDEX(Params_Federal!T$6:T$1005,L7)</f>
        <v/>
      </c>
      <c r="M25" s="48">
        <f>INDEX(Params_Federal!U$6:U$1005,L7)</f>
        <v/>
      </c>
    </row>
    <row r="26">
      <c r="B26" s="33" t="inlineStr">
        <is>
          <t>Preferential (LTCG-Rate) Net Capital Gain</t>
        </is>
      </c>
      <c r="C26" s="43">
        <f>IF(C23&lt;=0,0,IF(AND(C21&gt;=0,C22&gt;=0),C22,IF(AND(C21&lt;0,C22&gt;=0),C23,IF(AND(C21&gt;=0,C22&lt;0),0,0))))</f>
        <v/>
      </c>
      <c r="K26" s="47">
        <f>INDEX(Params_Federal!V$6:V$1005,L7)</f>
        <v/>
      </c>
      <c r="L26" s="48">
        <f>INDEX(Params_Federal!W$6:W$1005,L7)</f>
        <v/>
      </c>
      <c r="M26" s="48">
        <f>INDEX(Params_Federal!X$6:X$1005,L7)</f>
        <v/>
      </c>
    </row>
    <row r="27">
      <c r="B27" s="35" t="inlineStr">
        <is>
          <t>Capital-Loss Carryforward to Future Years</t>
        </is>
      </c>
      <c r="C27" s="36">
        <f>IF(C23&lt;=0,C23-MAX(C23,-C24),0)</f>
        <v/>
      </c>
    </row>
    <row r="28">
      <c r="K28" s="46" t="inlineStr">
        <is>
          <t>LTCG / QDI Brackets</t>
        </is>
      </c>
    </row>
    <row r="29" ht="18" customHeight="1">
      <c r="A29" s="6" t="inlineStr">
        <is>
          <t>4. Incremental Federal Tax - Stacked on Top of Salary</t>
        </is>
      </c>
      <c r="B29" s="7" t="n"/>
      <c r="C29" s="7" t="n"/>
      <c r="D29" s="7" t="n"/>
      <c r="K29" s="47">
        <f>INDEX(Params_Federal!D$19:D$1018,L8)</f>
        <v/>
      </c>
      <c r="L29" s="48">
        <f>INDEX(Params_Federal!E$19:E$1018,L8)</f>
        <v/>
      </c>
      <c r="M29" s="48">
        <f>INDEX(Params_Federal!F$19:F$1018,L8)</f>
        <v/>
      </c>
    </row>
    <row r="30">
      <c r="B30" s="33" t="inlineStr">
        <is>
          <t>Taxable Income: Salary + Ordinary Investment Income + Ordinary Capital Gain</t>
        </is>
      </c>
      <c r="C30" s="43">
        <f>MAX(0,C8+C18+C25-C5)</f>
        <v/>
      </c>
      <c r="K30" s="47">
        <f>INDEX(Params_Federal!G$19:G$1018,L8)</f>
        <v/>
      </c>
      <c r="L30" s="48">
        <f>INDEX(Params_Federal!H$19:H$1018,L8)</f>
        <v/>
      </c>
      <c r="M30" s="48">
        <f>INDEX(Params_Federal!I$19:I$1018,L8)</f>
        <v/>
      </c>
    </row>
    <row r="31">
      <c r="B31" s="35" t="inlineStr">
        <is>
          <t>Federal Tax at Step 1 (Salary + Ordinary Investment Income)</t>
        </is>
      </c>
      <c r="C31" s="36">
        <f>SUMPRODUCT((C30&gt;$L$20:$L$26)*($K$20:$K$26)*(MIN(C30,$M$20:$M$26)-$L$20:$L$26))</f>
        <v/>
      </c>
      <c r="K31" s="47">
        <f>INDEX(Params_Federal!J$19:J$1018,L8)</f>
        <v/>
      </c>
      <c r="L31" s="48">
        <f>INDEX(Params_Federal!K$19:K$1018,L8)</f>
        <v/>
      </c>
      <c r="M31" s="48">
        <f>INDEX(Params_Federal!L$19:L$1018,L8)</f>
        <v/>
      </c>
    </row>
    <row r="32">
      <c r="B32" s="33" t="inlineStr">
        <is>
          <t>Tax Attributable to Interest / Ordinary Dividends / Short-Term Gains</t>
        </is>
      </c>
      <c r="C32" s="49">
        <f>(C31-C10)</f>
        <v/>
      </c>
    </row>
    <row r="33">
      <c r="B33" s="35" t="inlineStr">
        <is>
          <t>Taxable Income: Step 1 + Qualified Dividends</t>
        </is>
      </c>
      <c r="C33" s="36">
        <f>(C30+C15)</f>
        <v/>
      </c>
      <c r="K33" s="46" t="inlineStr">
        <is>
          <t>State Brackets</t>
        </is>
      </c>
    </row>
    <row r="34">
      <c r="B34" s="33" t="inlineStr">
        <is>
          <t>Federal Cap Gains Tax on Qualified Dividends (stacked)</t>
        </is>
      </c>
      <c r="C34" s="49">
        <f>SUMPRODUCT($K$29:$K$31*(MAX(0,MIN(C33,$M$29:$M$31)-MAX(C30,$L$29:$L$31))))</f>
        <v/>
      </c>
      <c r="K34" s="47">
        <f>INDEX(Params_State!D$41:D$1040,L16)</f>
        <v/>
      </c>
      <c r="L34" s="48">
        <f>INDEX(Params_State!E$41:E$1040,L16)</f>
        <v/>
      </c>
      <c r="M34" s="48">
        <f>INDEX(Params_State!F$41:F$1040,L16)</f>
        <v/>
      </c>
    </row>
    <row r="35">
      <c r="B35" s="35" t="inlineStr">
        <is>
          <t>Taxable Income: Step 2 + Long-Term Capital Gain</t>
        </is>
      </c>
      <c r="C35" s="36">
        <f>(C33+C26)</f>
        <v/>
      </c>
      <c r="K35" s="47">
        <f>INDEX(Params_State!G$41:G$1040,L16)</f>
        <v/>
      </c>
      <c r="L35" s="48">
        <f>INDEX(Params_State!H$41:H$1040,L16)</f>
        <v/>
      </c>
      <c r="M35" s="48">
        <f>INDEX(Params_State!I$41:I$1040,L16)</f>
        <v/>
      </c>
    </row>
    <row r="36">
      <c r="B36" s="35" t="inlineStr">
        <is>
          <t>Federal Cap Gains Tax through Step 3 (cumulative, stacked)</t>
        </is>
      </c>
      <c r="C36" s="36">
        <f>SUMPRODUCT($K$29:$K$31*(MAX(0,MIN(C35,$M$29:$M$31)-MAX(C30,$L$29:$L$31))))</f>
        <v/>
      </c>
      <c r="K36" s="47">
        <f>INDEX(Params_State!J$41:J$1040,L16)</f>
        <v/>
      </c>
      <c r="L36" s="48">
        <f>INDEX(Params_State!K$41:K$1040,L16)</f>
        <v/>
      </c>
      <c r="M36" s="48">
        <f>INDEX(Params_State!L$41:L$1040,L16)</f>
        <v/>
      </c>
    </row>
    <row r="37">
      <c r="B37" s="33" t="inlineStr">
        <is>
          <t>Tax Attributable to Long-Term Capital Gains</t>
        </is>
      </c>
      <c r="C37" s="49">
        <f>(C36-C34)</f>
        <v/>
      </c>
      <c r="K37" s="47">
        <f>INDEX(Params_State!M$41:M$1040,L16)</f>
        <v/>
      </c>
      <c r="L37" s="48">
        <f>INDEX(Params_State!N$41:N$1040,L16)</f>
        <v/>
      </c>
      <c r="M37" s="48">
        <f>INDEX(Params_State!O$41:O$1040,L16)</f>
        <v/>
      </c>
    </row>
    <row r="38">
      <c r="B38" s="51" t="inlineStr">
        <is>
          <t>Total Incremental Federal Tax from Portfolio</t>
        </is>
      </c>
      <c r="C38" s="49">
        <f>(C32+C34+C37)</f>
        <v/>
      </c>
      <c r="K38" s="47">
        <f>INDEX(Params_State!P$41:P$1040,L16)</f>
        <v/>
      </c>
      <c r="L38" s="48">
        <f>INDEX(Params_State!Q$41:Q$1040,L16)</f>
        <v/>
      </c>
      <c r="M38" s="48">
        <f>INDEX(Params_State!R$41:R$1040,L16)</f>
        <v/>
      </c>
    </row>
    <row r="39">
      <c r="K39" s="47">
        <f>INDEX(Params_State!S$41:S$1040,L16)</f>
        <v/>
      </c>
      <c r="L39" s="48">
        <f>INDEX(Params_State!T$41:T$1040,L16)</f>
        <v/>
      </c>
      <c r="M39" s="48">
        <f>INDEX(Params_State!U$41:U$1040,L16)</f>
        <v/>
      </c>
    </row>
    <row r="40" ht="18" customHeight="1">
      <c r="A40" s="6" t="inlineStr">
        <is>
          <t>5. Net Investment Income Tax (NIIT)</t>
        </is>
      </c>
      <c r="B40" s="7" t="n"/>
      <c r="C40" s="7" t="n"/>
      <c r="D40" s="7" t="n"/>
      <c r="K40" s="47">
        <f>INDEX(Params_State!V$41:V$1040,L16)</f>
        <v/>
      </c>
      <c r="L40" s="48">
        <f>INDEX(Params_State!W$41:W$1040,L16)</f>
        <v/>
      </c>
      <c r="M40" s="48">
        <f>INDEX(Params_State!X$41:X$1040,L16)</f>
        <v/>
      </c>
    </row>
    <row r="41">
      <c r="B41" s="35" t="inlineStr">
        <is>
          <t>Net Investment Income</t>
        </is>
      </c>
      <c r="C41" s="36">
        <f>MAX(0,C18+C15+C25+C26)</f>
        <v/>
      </c>
      <c r="K41" s="47">
        <f>INDEX(Params_State!Y$41:Y$1040,L16)</f>
        <v/>
      </c>
      <c r="L41" s="48">
        <f>INDEX(Params_State!Z$41:Z$1040,L16)</f>
        <v/>
      </c>
      <c r="M41" s="48">
        <f>INDEX(Params_State!AA$41:AA$1040,L16)</f>
        <v/>
      </c>
    </row>
    <row r="42">
      <c r="B42" s="35" t="inlineStr">
        <is>
          <t>MAGI With Portfolio</t>
        </is>
      </c>
      <c r="C42" s="36">
        <f>(C8+C18+C25+C15+C26)</f>
        <v/>
      </c>
    </row>
    <row r="43">
      <c r="B43" s="35" t="inlineStr">
        <is>
          <t>NIIT Threshold</t>
        </is>
      </c>
      <c r="C43" s="36">
        <f>INDEX(Params_Federal!$B$45:$B$49,L10)</f>
        <v/>
      </c>
    </row>
    <row r="44">
      <c r="B44" s="35" t="inlineStr">
        <is>
          <t>NIIT Rate</t>
        </is>
      </c>
      <c r="C44" s="45">
        <f>INDEX(Params_Federal!$H$66:$H$67,L11)</f>
        <v/>
      </c>
    </row>
    <row r="45">
      <c r="B45" s="33" t="inlineStr">
        <is>
          <t>Estimated NIIT</t>
        </is>
      </c>
      <c r="C45" s="49">
        <f>C44*MIN(C41,MAX(0,C42-C43))</f>
        <v/>
      </c>
    </row>
    <row r="47" ht="18" customHeight="1">
      <c r="A47" s="6" t="inlineStr">
        <is>
          <t>6. State Tax Attributable to the Portfolio (incremental)</t>
        </is>
      </c>
      <c r="B47" s="7" t="n"/>
      <c r="C47" s="7" t="n"/>
      <c r="D47" s="7" t="n"/>
    </row>
    <row r="48">
      <c r="B48" s="35" t="inlineStr">
        <is>
          <t>State Standard Deduction</t>
        </is>
      </c>
      <c r="C48" s="36">
        <f>IF(L14="MFJ",INDEX(Params_State!$G$6:$G$37,L17),INDEX(Params_State!$F$6:$F$37,L17))</f>
        <v/>
      </c>
    </row>
    <row r="49">
      <c r="B49" s="35" t="inlineStr">
        <is>
          <t>Baseline State Taxable Income (salary only)</t>
        </is>
      </c>
      <c r="C49" s="36">
        <f>MAX(0,C8-C48)</f>
        <v/>
      </c>
    </row>
    <row r="50">
      <c r="B50" s="35" t="inlineStr">
        <is>
          <t>Baseline State Tax (salary only)</t>
        </is>
      </c>
      <c r="C50" s="36">
        <f>IF(L13="OTHER",'Calc2_Portfolio_Inputs'!C8*C49,SUMPRODUCT((C49&gt;$L$34:$L$41)*($K$34:$K$41)*(MIN(C49,$M$34:$M$41)-$L$34:$L$41)))</f>
        <v/>
      </c>
    </row>
    <row r="51">
      <c r="B51" s="35" t="inlineStr">
        <is>
          <t>State Taxable Income With Portfolio (incl. muni interest addback)</t>
        </is>
      </c>
      <c r="C51" s="36">
        <f>MAX(0,C8+C18+C25+C15+C26+C14-C48)</f>
        <v/>
      </c>
    </row>
    <row r="52">
      <c r="B52" s="35" t="inlineStr">
        <is>
          <t>State Tax With Portfolio</t>
        </is>
      </c>
      <c r="C52" s="36">
        <f>IF(L13="OTHER",'Calc2_Portfolio_Inputs'!C8*C51,SUMPRODUCT((C51&gt;$L$34:$L$41)*($K$34:$K$41)*(MIN(C51,$M$34:$M$41)-$L$34:$L$41)))</f>
        <v/>
      </c>
    </row>
    <row r="53">
      <c r="B53" s="33" t="inlineStr">
        <is>
          <t>Estimated State Tax Attributable to Portfolio</t>
        </is>
      </c>
      <c r="C53" s="49">
        <f>(C52-C50)</f>
        <v/>
      </c>
    </row>
    <row r="55" ht="18" customHeight="1">
      <c r="A55" s="6" t="inlineStr">
        <is>
          <t>7. Portfolio Tax Summary</t>
        </is>
      </c>
      <c r="B55" s="7" t="n"/>
      <c r="C55" s="7" t="n"/>
      <c r="D55" s="7" t="n"/>
    </row>
    <row r="56">
      <c r="B56" s="33" t="inlineStr">
        <is>
          <t>Total Portfolio Income (taxable)</t>
        </is>
      </c>
      <c r="C56" s="43">
        <f>(C18+C15+C25+C26)</f>
        <v/>
      </c>
    </row>
    <row r="57">
      <c r="B57" s="33" t="inlineStr">
        <is>
          <t>Estimated Federal Tax on Portfolio</t>
        </is>
      </c>
      <c r="C57" s="43">
        <f>C38</f>
        <v/>
      </c>
    </row>
    <row r="58">
      <c r="B58" s="33" t="inlineStr">
        <is>
          <t>Estimated NIIT</t>
        </is>
      </c>
      <c r="C58" s="43">
        <f>C45</f>
        <v/>
      </c>
    </row>
    <row r="59">
      <c r="B59" s="33" t="inlineStr">
        <is>
          <t>Estimated State Tax on Portfolio</t>
        </is>
      </c>
      <c r="C59" s="43">
        <f>C53</f>
        <v/>
      </c>
    </row>
    <row r="60">
      <c r="B60" s="51" t="inlineStr">
        <is>
          <t>Estimated Total Portfolio Tax</t>
        </is>
      </c>
      <c r="C60" s="49">
        <f>(C38+C45+C53)</f>
        <v/>
      </c>
    </row>
    <row r="61">
      <c r="B61" s="35" t="inlineStr">
        <is>
          <t>Estimated Portfolio Tax Rate</t>
        </is>
      </c>
      <c r="C61" s="50">
        <f>IFERROR(C60/C56,0)</f>
        <v/>
      </c>
    </row>
    <row r="62">
      <c r="B62" s="33" t="inlineStr">
        <is>
          <t>Estimated After-Tax Portfolio Income</t>
        </is>
      </c>
      <c r="C62" s="49">
        <f>(C56-C60)</f>
        <v/>
      </c>
    </row>
    <row r="63">
      <c r="B63" s="35" t="inlineStr">
        <is>
          <t>Marginal Federal Rate Applicable to Next Dollar of Ordinary Portfolio Income</t>
        </is>
      </c>
      <c r="C63" s="50">
        <f>IFERROR(INDEX($K$20:$K$26,MATCH(C30,$L$20:$L$26,1)),0)</f>
        <v/>
      </c>
    </row>
    <row r="64">
      <c r="B64" s="35" t="inlineStr">
        <is>
          <t>Marginal LTCG/QDI Rate Applicable to Next Dollar of Preferential Income</t>
        </is>
      </c>
      <c r="C64" s="50">
        <f>IFERROR(INDEX($K$29:$K$31,MATCH(C35,$L$29:$L$31,1)),0)</f>
        <v/>
      </c>
    </row>
    <row r="65">
      <c r="B65" s="35" t="inlineStr">
        <is>
          <t>Taxable Income Room Before Next Ordinary Bracket</t>
        </is>
      </c>
      <c r="C65" s="36">
        <f>IFERROR(INDEX($M$20:$M$26,MATCH(C30,$L$20:$L$26,1))-C30,0)</f>
        <v/>
      </c>
    </row>
  </sheetData>
  <mergeCells count="9">
    <mergeCell ref="A1:D1"/>
    <mergeCell ref="A40:D40"/>
    <mergeCell ref="A12:D12"/>
    <mergeCell ref="A4:D4"/>
    <mergeCell ref="A20:D20"/>
    <mergeCell ref="A55:D55"/>
    <mergeCell ref="A29:D29"/>
    <mergeCell ref="A2:D2"/>
    <mergeCell ref="A47:D4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34" customWidth="1" min="2" max="2"/>
    <col width="18" customWidth="1" min="3" max="3"/>
    <col width="4" customWidth="1" min="4" max="4"/>
    <col width="4" customWidth="1" min="5" max="5"/>
    <col width="4" customWidth="1" min="6" max="6"/>
    <col width="4" customWidth="1" min="7" max="7"/>
    <col width="24" customWidth="1" min="8" max="8"/>
    <col width="16" customWidth="1" min="9" max="9"/>
  </cols>
  <sheetData>
    <row r="1" ht="28" customHeight="1">
      <c r="A1" s="19" t="inlineStr">
        <is>
          <t>CALCULATOR 2: PORTFOLIO TAX ESTIMATOR - RESULTS</t>
        </is>
      </c>
    </row>
    <row r="2">
      <c r="A2" s="52" t="inlineStr">
        <is>
          <t>For planning purposes only - not tax advice. See Assumptions_Disclaimer tab.</t>
        </is>
      </c>
    </row>
    <row r="4" ht="30" customHeight="1">
      <c r="B4" s="53" t="inlineStr">
        <is>
          <t>Estimated Annual Portfolio Tax</t>
        </is>
      </c>
      <c r="C4" s="53" t="inlineStr">
        <is>
          <t>Portfolio Tax Rate</t>
        </is>
      </c>
      <c r="D4" s="53" t="inlineStr">
        <is>
          <t>After-Tax Portfolio Income</t>
        </is>
      </c>
      <c r="E4" s="53" t="inlineStr">
        <is>
          <t>Marginal Rate on Next $ of Ordinary Portfolio Income</t>
        </is>
      </c>
    </row>
    <row r="5" ht="30" customHeight="1">
      <c r="B5" s="54">
        <f>Calc2_Portfolio_Engine!C60</f>
        <v/>
      </c>
      <c r="C5" s="55">
        <f>Calc2_Portfolio_Engine!C61</f>
        <v/>
      </c>
      <c r="D5" s="54">
        <f>Calc2_Portfolio_Engine!C62</f>
        <v/>
      </c>
      <c r="E5" s="55">
        <f>Calc2_Portfolio_Engine!C63</f>
        <v/>
      </c>
    </row>
    <row r="7" ht="18" customHeight="1">
      <c r="B7" s="6" t="inlineStr">
        <is>
          <t>Portfolio Tax Estimate</t>
        </is>
      </c>
      <c r="C7" s="7" t="n"/>
    </row>
    <row r="8">
      <c r="B8" s="35" t="inlineStr">
        <is>
          <t>Total Portfolio Income</t>
        </is>
      </c>
      <c r="C8" s="36">
        <f>Calc2_Portfolio_Engine!C56</f>
        <v/>
      </c>
    </row>
    <row r="9">
      <c r="B9" s="35" t="inlineStr">
        <is>
          <t>Qualified Dividends</t>
        </is>
      </c>
      <c r="C9" s="36">
        <f>Calc2_Portfolio_Engine!C15</f>
        <v/>
      </c>
    </row>
    <row r="10">
      <c r="B10" s="35" t="inlineStr">
        <is>
          <t>Ordinary Dividends (incl. ETF)</t>
        </is>
      </c>
      <c r="C10" s="36">
        <f>Calc2_Portfolio_Engine!C16</f>
        <v/>
      </c>
    </row>
    <row r="11">
      <c r="B11" s="35" t="inlineStr">
        <is>
          <t>Taxable Interest</t>
        </is>
      </c>
      <c r="C11" s="36">
        <f>Calc2_Portfolio_Engine!C13</f>
        <v/>
      </c>
    </row>
    <row r="12">
      <c r="B12" s="35" t="inlineStr">
        <is>
          <t>Tax-Exempt Interest (municipal)</t>
        </is>
      </c>
      <c r="C12" s="36">
        <f>Calc2_Portfolio_Engine!C14</f>
        <v/>
      </c>
    </row>
    <row r="13">
      <c r="B13" s="35" t="inlineStr">
        <is>
          <t>Net Ordinary-Taxed Capital Gain</t>
        </is>
      </c>
      <c r="C13" s="36">
        <f>Calc2_Portfolio_Engine!C25</f>
        <v/>
      </c>
    </row>
    <row r="14">
      <c r="B14" s="35" t="inlineStr">
        <is>
          <t>Net Long-Term (Preferential) Capital Gain</t>
        </is>
      </c>
      <c r="C14" s="36">
        <f>Calc2_Portfolio_Engine!C26</f>
        <v/>
      </c>
    </row>
    <row r="15">
      <c r="B15" s="35" t="inlineStr">
        <is>
          <t>Estimated Federal Tax (Interest/Ord.Div./ST Gains + QDI + LTCG)</t>
        </is>
      </c>
      <c r="C15" s="36">
        <f>Calc2_Portfolio_Engine!C38</f>
        <v/>
      </c>
    </row>
    <row r="16">
      <c r="B16" s="35" t="inlineStr">
        <is>
          <t>Estimated NIIT</t>
        </is>
      </c>
      <c r="C16" s="36">
        <f>Calc2_Portfolio_Engine!C45</f>
        <v/>
      </c>
    </row>
    <row r="17">
      <c r="B17" s="35" t="inlineStr">
        <is>
          <t>Estimated State Tax</t>
        </is>
      </c>
      <c r="C17" s="36">
        <f>Calc2_Portfolio_Engine!C53</f>
        <v/>
      </c>
    </row>
    <row r="18">
      <c r="B18" s="33" t="inlineStr">
        <is>
          <t>Estimated Total Portfolio Tax</t>
        </is>
      </c>
      <c r="C18" s="49">
        <f>Calc2_Portfolio_Engine!C60</f>
        <v/>
      </c>
    </row>
    <row r="19">
      <c r="B19" s="33" t="inlineStr">
        <is>
          <t>Estimated Portfolio Tax Rate</t>
        </is>
      </c>
      <c r="C19" s="58">
        <f>Calc2_Portfolio_Engine!C61</f>
        <v/>
      </c>
    </row>
    <row r="20">
      <c r="B20" s="33" t="inlineStr">
        <is>
          <t>Estimated After-Tax Portfolio Income</t>
        </is>
      </c>
      <c r="C20" s="49">
        <f>Calc2_Portfolio_Engine!C62</f>
        <v/>
      </c>
    </row>
    <row r="22" ht="18" customHeight="1">
      <c r="B22" s="6" t="inlineStr">
        <is>
          <t>Tax by Income Type</t>
        </is>
      </c>
      <c r="C22" s="7" t="n"/>
    </row>
    <row r="23">
      <c r="B23" s="35" t="inlineStr">
        <is>
          <t>Tax on Interest / Ordinary Dividends / Short-Term Gains</t>
        </is>
      </c>
      <c r="C23" s="43">
        <f>Calc2_Portfolio_Engine!C32</f>
        <v/>
      </c>
      <c r="H23" s="57" t="inlineStr">
        <is>
          <t>Tax on Interest / Ordinary Dividends / Short-Term Gains</t>
        </is>
      </c>
      <c r="I23" s="48">
        <f>Calc2_Portfolio_Engine!C32</f>
        <v/>
      </c>
    </row>
    <row r="24">
      <c r="B24" s="35" t="inlineStr">
        <is>
          <t>Tax on Qualified Dividends</t>
        </is>
      </c>
      <c r="C24" s="43">
        <f>Calc2_Portfolio_Engine!C34</f>
        <v/>
      </c>
      <c r="H24" s="57" t="inlineStr">
        <is>
          <t>Tax on Qualified Dividends</t>
        </is>
      </c>
      <c r="I24" s="48">
        <f>Calc2_Portfolio_Engine!C34</f>
        <v/>
      </c>
    </row>
    <row r="25">
      <c r="B25" s="35" t="inlineStr">
        <is>
          <t>Tax on Long-Term Capital Gains</t>
        </is>
      </c>
      <c r="C25" s="43">
        <f>Calc2_Portfolio_Engine!C37</f>
        <v/>
      </c>
      <c r="H25" s="57" t="inlineStr">
        <is>
          <t>Tax on Long-Term Capital Gains</t>
        </is>
      </c>
      <c r="I25" s="48">
        <f>Calc2_Portfolio_Engine!C37</f>
        <v/>
      </c>
    </row>
    <row r="26">
      <c r="B26" s="35" t="inlineStr">
        <is>
          <t>Net Investment Income Tax (NIIT)</t>
        </is>
      </c>
      <c r="C26" s="43">
        <f>Calc2_Portfolio_Engine!C45</f>
        <v/>
      </c>
      <c r="H26" s="57" t="inlineStr">
        <is>
          <t>Net Investment Income Tax (NIIT)</t>
        </is>
      </c>
      <c r="I26" s="48">
        <f>Calc2_Portfolio_Engine!C45</f>
        <v/>
      </c>
    </row>
    <row r="27">
      <c r="B27" s="35" t="inlineStr">
        <is>
          <t>State Tax</t>
        </is>
      </c>
      <c r="C27" s="43">
        <f>Calc2_Portfolio_Engine!C53</f>
        <v/>
      </c>
      <c r="H27" s="57" t="inlineStr">
        <is>
          <t>State Tax</t>
        </is>
      </c>
      <c r="I27" s="48">
        <f>Calc2_Portfolio_Engine!C53</f>
        <v/>
      </c>
    </row>
    <row r="29">
      <c r="B29" s="35" t="inlineStr">
        <is>
          <t>Taxable Income Room Before Next Ordinary Bracket</t>
        </is>
      </c>
      <c r="C29" s="43">
        <f>Calc2_Portfolio_Engine!C65</f>
        <v/>
      </c>
    </row>
    <row r="30">
      <c r="B30" s="35" t="inlineStr">
        <is>
          <t>Marginal LTCG/QDI Rate on Next Dollar</t>
        </is>
      </c>
      <c r="C30" s="60">
        <f>Calc2_Portfolio_Engine!C64</f>
        <v/>
      </c>
    </row>
    <row r="32">
      <c r="H32" s="56" t="inlineStr">
        <is>
          <t>Item</t>
        </is>
      </c>
      <c r="I32" s="56" t="inlineStr">
        <is>
          <t>Amount</t>
        </is>
      </c>
    </row>
    <row r="33">
      <c r="H33" s="57" t="inlineStr">
        <is>
          <t>Total Portfolio Income</t>
        </is>
      </c>
      <c r="I33" s="48">
        <f>Calc2_Portfolio_Engine!C56</f>
        <v/>
      </c>
    </row>
    <row r="34">
      <c r="H34" s="57" t="inlineStr">
        <is>
          <t>Total Portfolio Tax</t>
        </is>
      </c>
      <c r="I34" s="48">
        <f>Calc2_Portfolio_Engine!C60</f>
        <v/>
      </c>
    </row>
    <row r="35">
      <c r="H35" s="57" t="inlineStr">
        <is>
          <t>After-Tax Portfolio Income</t>
        </is>
      </c>
      <c r="I35" s="48">
        <f>Calc2_Portfolio_Engine!C62</f>
        <v/>
      </c>
    </row>
  </sheetData>
  <mergeCells count="4">
    <mergeCell ref="A1:C1"/>
    <mergeCell ref="B22:C22"/>
    <mergeCell ref="A2:C2"/>
    <mergeCell ref="B7:C7"/>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E30"/>
  <sheetViews>
    <sheetView showGridLines="0" zoomScale="100" workbookViewId="0">
      <pane xSplit="2" ySplit="4" topLeftCell="C5" activePane="bottomRight" state="frozen"/>
      <selection pane="topRight"/>
      <selection pane="bottomLeft"/>
      <selection pane="bottomRight" activeCell="A1" sqref="A1"/>
    </sheetView>
  </sheetViews>
  <sheetFormatPr baseColWidth="8" defaultRowHeight="15" outlineLevelCol="0"/>
  <cols>
    <col width="3" customWidth="1" min="1" max="1"/>
    <col width="44" customWidth="1" min="2" max="2"/>
    <col width="20" customWidth="1" min="3" max="3"/>
    <col width="20" customWidth="1" min="4" max="4"/>
    <col width="20" customWidth="1" min="5" max="5"/>
  </cols>
  <sheetData>
    <row r="1" ht="28" customHeight="1">
      <c r="A1" s="19" t="inlineStr">
        <is>
          <t>WHAT-IF SCENARIO COMPARISON</t>
        </is>
      </c>
    </row>
    <row r="2">
      <c r="A2" s="20" t="inlineStr">
        <is>
          <t>Compares Calculator 1's current household tax (Scenario A) against two alternatives you define. State tax impact is approximated using the state's bracket formula applied to the adjusted state taxable income.</t>
        </is>
      </c>
    </row>
    <row r="4">
      <c r="B4" s="21" t="inlineStr"/>
      <c r="C4" s="21" t="inlineStr">
        <is>
          <t>Scenario A: Current</t>
        </is>
      </c>
      <c r="D4" s="21" t="inlineStr">
        <is>
          <t>Scenario B</t>
        </is>
      </c>
      <c r="E4" s="21" t="inlineStr">
        <is>
          <t>Scenario C</t>
        </is>
      </c>
    </row>
    <row r="5" ht="18" customHeight="1">
      <c r="B5" s="6" t="inlineStr">
        <is>
          <t>Levers (Scenario B / C only - enter deltas)</t>
        </is>
      </c>
      <c r="C5" s="7" t="n"/>
      <c r="D5" s="7" t="n"/>
      <c r="E5" s="7" t="n"/>
    </row>
    <row r="6">
      <c r="B6" s="35" t="inlineStr">
        <is>
          <t>Additional Ordinary Investment Income (interest/nonqual. div./ST gains)</t>
        </is>
      </c>
      <c r="C6" s="61" t="n">
        <v>0</v>
      </c>
      <c r="D6" s="29" t="n">
        <v>0</v>
      </c>
      <c r="E6" s="29" t="n">
        <v>0</v>
      </c>
    </row>
    <row r="7">
      <c r="B7" s="35" t="inlineStr">
        <is>
          <t>Additional Long-Term Capital Gains Realized</t>
        </is>
      </c>
      <c r="C7" s="61" t="n">
        <v>0</v>
      </c>
      <c r="D7" s="29" t="n">
        <v>0</v>
      </c>
      <c r="E7" s="29" t="n">
        <v>0</v>
      </c>
    </row>
    <row r="8">
      <c r="B8" s="35" t="inlineStr">
        <is>
          <t>Capital Losses Harvested (reduces LT gain)</t>
        </is>
      </c>
      <c r="C8" s="61" t="n">
        <v>0</v>
      </c>
      <c r="D8" s="29" t="n">
        <v>0</v>
      </c>
      <c r="E8" s="29" t="n">
        <v>0</v>
      </c>
    </row>
    <row r="9">
      <c r="B9" s="35" t="inlineStr">
        <is>
          <t>Additional Pre-Tax Retirement Contribution</t>
        </is>
      </c>
      <c r="C9" s="61" t="n">
        <v>0</v>
      </c>
      <c r="D9" s="29" t="n">
        <v>0</v>
      </c>
      <c r="E9" s="29" t="n">
        <v>0</v>
      </c>
    </row>
    <row r="11" ht="18" customHeight="1">
      <c r="B11" s="6" t="inlineStr">
        <is>
          <t>Recalculated Results</t>
        </is>
      </c>
      <c r="C11" s="7" t="n"/>
      <c r="D11" s="7" t="n"/>
      <c r="E11" s="7" t="n"/>
    </row>
    <row r="12">
      <c r="B12" s="35" t="inlineStr">
        <is>
          <t>New Total Taxable Income</t>
        </is>
      </c>
      <c r="C12" s="62">
        <f>MAX(0,Calc1_Engine!C69+0+0-0-0)</f>
        <v/>
      </c>
      <c r="D12" s="62">
        <f>MAX(0,Calc1_Engine!C69+D6+D7-D8-D9)</f>
        <v/>
      </c>
      <c r="E12" s="62">
        <f>MAX(0,Calc1_Engine!C69+E6+E7-E8-E9)</f>
        <v/>
      </c>
    </row>
    <row r="13">
      <c r="B13" s="35" t="inlineStr">
        <is>
          <t>New Preferential (LTCG/QDI) Stacked Amount</t>
        </is>
      </c>
      <c r="C13" s="62">
        <f>MIN(C12,MAX(0,Calc1_Engine!C70+0-0))</f>
        <v/>
      </c>
      <c r="D13" s="62">
        <f>MIN(D12,MAX(0,Calc1_Engine!C70+D7-D8))</f>
        <v/>
      </c>
      <c r="E13" s="62">
        <f>MIN(E12,MAX(0,Calc1_Engine!C70+E7-E8))</f>
        <v/>
      </c>
    </row>
    <row r="14">
      <c r="B14" s="35" t="inlineStr">
        <is>
          <t>New Ordinary Taxable Income</t>
        </is>
      </c>
      <c r="C14" s="62">
        <f>MAX(0,C12-C13)</f>
        <v/>
      </c>
      <c r="D14" s="62">
        <f>MAX(0,D12-D13)</f>
        <v/>
      </c>
      <c r="E14" s="62">
        <f>MAX(0,E12-E13)</f>
        <v/>
      </c>
    </row>
    <row r="15">
      <c r="B15" s="35" t="inlineStr">
        <is>
          <t>New Federal Ordinary Tax</t>
        </is>
      </c>
      <c r="C15" s="62">
        <f>SUMPRODUCT((C14&gt;Calc1_Engine!$L$25:$L$31)*(Calc1_Engine!$K$25:$K$31)*(MIN(C14,Calc1_Engine!$M$25:$M$31)-Calc1_Engine!$L$25:$L$31))</f>
        <v/>
      </c>
      <c r="D15" s="62">
        <f>SUMPRODUCT((D14&gt;Calc1_Engine!$L$25:$L$31)*(Calc1_Engine!$K$25:$K$31)*(MIN(D14,Calc1_Engine!$M$25:$M$31)-Calc1_Engine!$L$25:$L$31))</f>
        <v/>
      </c>
      <c r="E15" s="62">
        <f>SUMPRODUCT((E14&gt;Calc1_Engine!$L$25:$L$31)*(Calc1_Engine!$K$25:$K$31)*(MIN(E14,Calc1_Engine!$M$25:$M$31)-Calc1_Engine!$L$25:$L$31))</f>
        <v/>
      </c>
    </row>
    <row r="16">
      <c r="B16" s="35" t="inlineStr">
        <is>
          <t>New Federal Capital Gains Tax</t>
        </is>
      </c>
      <c r="C16" s="62">
        <f>SUMPRODUCT(Calc1_Engine!$K$34:$K$36*(MAX(0,MIN(C12,Calc1_Engine!$M$34:$M$36)-MAX(C14,Calc1_Engine!$L$34:$L$36))))</f>
        <v/>
      </c>
      <c r="D16" s="62">
        <f>SUMPRODUCT(Calc1_Engine!$K$34:$K$36*(MAX(0,MIN(D12,Calc1_Engine!$M$34:$M$36)-MAX(D14,Calc1_Engine!$L$34:$L$36))))</f>
        <v/>
      </c>
      <c r="E16" s="62">
        <f>SUMPRODUCT(Calc1_Engine!$K$34:$K$36*(MAX(0,MIN(E12,Calc1_Engine!$M$34:$M$36)-MAX(E14,Calc1_Engine!$L$34:$L$36))))</f>
        <v/>
      </c>
    </row>
    <row r="17">
      <c r="B17" s="35" t="inlineStr">
        <is>
          <t>New NIIT</t>
        </is>
      </c>
      <c r="C17" s="62">
        <f>Calc1_Engine!C81*MIN(MAX(0,Calc1_Engine!C80+0+0-0),MAX(0,Calc1_Engine!C51+0+0-0-0-Calc1_Engine!C79))</f>
        <v/>
      </c>
      <c r="D17" s="62">
        <f>Calc1_Engine!C81*MIN(MAX(0,Calc1_Engine!C80+D6+D7-D8),MAX(0,Calc1_Engine!C51+D6+D7-D8-D9-Calc1_Engine!C79))</f>
        <v/>
      </c>
      <c r="E17" s="62">
        <f>Calc1_Engine!C81*MIN(MAX(0,Calc1_Engine!C80+E6+E7-E8),MAX(0,Calc1_Engine!C51+E6+E7-E8-E9-Calc1_Engine!C79))</f>
        <v/>
      </c>
    </row>
    <row r="18">
      <c r="B18" s="35" t="inlineStr">
        <is>
          <t>New State Taxable Income</t>
        </is>
      </c>
      <c r="C18" s="62">
        <f>MAX(0,Calc1_Engine!C126+0+0-0-0)</f>
        <v/>
      </c>
      <c r="D18" s="62">
        <f>MAX(0,Calc1_Engine!C126+D6+D7-D8-D9)</f>
        <v/>
      </c>
      <c r="E18" s="62">
        <f>MAX(0,Calc1_Engine!C126+E6+E7-E8-E9)</f>
        <v/>
      </c>
    </row>
    <row r="19">
      <c r="B19" s="35" t="inlineStr">
        <is>
          <t>New State Tax</t>
        </is>
      </c>
      <c r="C19" s="62">
        <f>IF(Calc1_Engine!L16="OTHER",Calc1_Inputs!C8*C18,SUMPRODUCT((C18&gt;Calc1_Engine!$L$39:$L$46)*(Calc1_Engine!$K$39:$K$46)*(MIN(C18,Calc1_Engine!$M$39:$M$46)-Calc1_Engine!$L$39:$L$46)))</f>
        <v/>
      </c>
      <c r="D19" s="62">
        <f>IF(Calc1_Engine!L16="OTHER",Calc1_Inputs!C8*D18,SUMPRODUCT((D18&gt;Calc1_Engine!$L$39:$L$46)*(Calc1_Engine!$K$39:$K$46)*(MIN(D18,Calc1_Engine!$M$39:$M$46)-Calc1_Engine!$L$39:$L$46)))</f>
        <v/>
      </c>
      <c r="E19" s="62">
        <f>IF(Calc1_Engine!L16="OTHER",Calc1_Inputs!C8*E18,SUMPRODUCT((E18&gt;Calc1_Engine!$L$39:$L$46)*(Calc1_Engine!$K$39:$K$46)*(MIN(E18,Calc1_Engine!$M$39:$M$46)-Calc1_Engine!$L$39:$L$46)))</f>
        <v/>
      </c>
    </row>
    <row r="20">
      <c r="B20" s="35" t="inlineStr">
        <is>
          <t>New Total Tax (Federal + NIIT + Payroll + State + Local, net of credits)</t>
        </is>
      </c>
      <c r="C20" s="62">
        <f>MAX(0,C15+C16+C17+Calc1_Engine!C98+C19+Calc1_Engine!C134-Calc1_Engine!C116)</f>
        <v/>
      </c>
      <c r="D20" s="62">
        <f>MAX(0,D15+D16+D17+Calc1_Engine!C98+D19+Calc1_Engine!C134-Calc1_Engine!C116)</f>
        <v/>
      </c>
      <c r="E20" s="62">
        <f>MAX(0,E15+E16+E17+Calc1_Engine!C98+E19+Calc1_Engine!C134-Calc1_Engine!C116)</f>
        <v/>
      </c>
    </row>
    <row r="21">
      <c r="B21" s="35" t="inlineStr">
        <is>
          <t>New Effective Tax Rate</t>
        </is>
      </c>
      <c r="C21" s="63">
        <f>IFERROR(C20/Calc1_Engine!C44,0)</f>
        <v/>
      </c>
      <c r="D21" s="63">
        <f>IFERROR(D20/Calc1_Engine!C44,0)</f>
        <v/>
      </c>
      <c r="E21" s="63">
        <f>IFERROR(E20/Calc1_Engine!C44,0)</f>
        <v/>
      </c>
    </row>
    <row r="22">
      <c r="B22" s="35" t="inlineStr">
        <is>
          <t>New After-Tax Income</t>
        </is>
      </c>
      <c r="C22" s="62">
        <f>(Calc1_Engine!C44-C20)</f>
        <v/>
      </c>
      <c r="D22" s="62">
        <f>(Calc1_Engine!C44-D20)</f>
        <v/>
      </c>
      <c r="E22" s="62">
        <f>(Calc1_Engine!C44-E20)</f>
        <v/>
      </c>
    </row>
    <row r="24" ht="18" customHeight="1">
      <c r="B24" s="6" t="inlineStr">
        <is>
          <t>Scenario Comparison Summary</t>
        </is>
      </c>
      <c r="C24" s="7" t="n"/>
      <c r="D24" s="7" t="n"/>
      <c r="E24" s="7" t="n"/>
    </row>
    <row r="25">
      <c r="B25" s="35" t="inlineStr"/>
      <c r="C25" s="21" t="inlineStr">
        <is>
          <t>Scenario B</t>
        </is>
      </c>
      <c r="D25" s="21" t="inlineStr">
        <is>
          <t>Scenario C</t>
        </is>
      </c>
    </row>
    <row r="26">
      <c r="B26" s="33" t="inlineStr">
        <is>
          <t>Tax Before (Scenario A)</t>
        </is>
      </c>
      <c r="C26" s="49">
        <f>$C$20</f>
        <v/>
      </c>
      <c r="D26" s="49">
        <f>$C$20</f>
        <v/>
      </c>
    </row>
    <row r="27">
      <c r="B27" s="33" t="inlineStr">
        <is>
          <t>Tax After</t>
        </is>
      </c>
      <c r="C27" s="49">
        <f>D20</f>
        <v/>
      </c>
      <c r="D27" s="49">
        <f>E20</f>
        <v/>
      </c>
    </row>
    <row r="28">
      <c r="B28" s="33" t="inlineStr">
        <is>
          <t>Estimated Tax Savings</t>
        </is>
      </c>
      <c r="C28" s="49">
        <f>$C$20-D20</f>
        <v/>
      </c>
      <c r="D28" s="49">
        <f>$C$20-E20</f>
        <v/>
      </c>
    </row>
    <row r="29">
      <c r="B29" s="33" t="inlineStr">
        <is>
          <t>Change in Effective Tax Rate</t>
        </is>
      </c>
      <c r="C29" s="58">
        <f>D21-$C$21</f>
        <v/>
      </c>
      <c r="D29" s="58">
        <f>E21-$C$21</f>
        <v/>
      </c>
    </row>
    <row r="30">
      <c r="B30" s="33" t="inlineStr">
        <is>
          <t>Change in After-Tax Income</t>
        </is>
      </c>
      <c r="C30" s="49">
        <f>D22-$C$22</f>
        <v/>
      </c>
      <c r="D30" s="49">
        <f>E22-$C$22</f>
        <v/>
      </c>
    </row>
  </sheetData>
  <mergeCells count="5">
    <mergeCell ref="A2:E2"/>
    <mergeCell ref="A1:E1"/>
    <mergeCell ref="B11:E11"/>
    <mergeCell ref="B24:E24"/>
    <mergeCell ref="B5:E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4"/>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46" customWidth="1" min="2" max="2"/>
    <col width="17" customWidth="1" min="3" max="3"/>
    <col width="30" customWidth="1" min="4" max="4"/>
    <col width="12" customWidth="1" min="11" max="11"/>
    <col width="12" customWidth="1" min="12" max="12"/>
    <col width="12" customWidth="1" min="13" max="13"/>
    <col width="12" customWidth="1" min="14" max="14"/>
  </cols>
  <sheetData>
    <row r="1" ht="28" customHeight="1">
      <c r="A1" s="19" t="inlineStr">
        <is>
          <t>TAX-LOSS HARVESTING ESTIMATOR</t>
        </is>
      </c>
    </row>
    <row r="2">
      <c r="A2" s="20" t="inlineStr">
        <is>
          <t>Estimates the tax savings from harvesting additional unrealized losses, applying IRC capital-loss limitation and carryforward rules.</t>
        </is>
      </c>
    </row>
    <row r="3">
      <c r="K3" s="40" t="inlineStr">
        <is>
          <t>WORKING LOOKUP TABLES</t>
        </is>
      </c>
    </row>
    <row r="4" ht="18" customHeight="1">
      <c r="A4" s="6" t="inlineStr">
        <is>
          <t>Inputs</t>
        </is>
      </c>
      <c r="B4" s="7" t="n"/>
      <c r="C4" s="7" t="n"/>
      <c r="D4" s="7" t="n"/>
      <c r="K4" s="41" t="inlineStr">
        <is>
          <t>Key</t>
        </is>
      </c>
      <c r="L4" s="42">
        <f>C6&amp;"|"&amp;C5</f>
        <v/>
      </c>
    </row>
    <row r="5">
      <c r="B5" s="33" t="inlineStr">
        <is>
          <t>Filing Status</t>
        </is>
      </c>
      <c r="C5" s="28" t="inlineStr">
        <is>
          <t>Married Filing Jointly</t>
        </is>
      </c>
      <c r="K5" s="41" t="inlineStr">
        <is>
          <t>Fed Row#</t>
        </is>
      </c>
      <c r="L5" s="42">
        <f>MATCH(L4,Params_Federal!$C$6:$C$15,0)</f>
        <v/>
      </c>
    </row>
    <row r="6">
      <c r="B6" s="33" t="inlineStr">
        <is>
          <t>Tax Year</t>
        </is>
      </c>
      <c r="C6" s="28" t="n">
        <v>2025</v>
      </c>
      <c r="K6" s="41" t="inlineStr">
        <is>
          <t>LTCG Row#</t>
        </is>
      </c>
      <c r="L6" s="42">
        <f>MATCH(L4,Params_Federal!$C$19:$C$28,0)</f>
        <v/>
      </c>
    </row>
    <row r="7">
      <c r="B7" s="35" t="inlineStr">
        <is>
          <t>Ordinary Taxable Income (before this transaction)</t>
        </is>
      </c>
      <c r="C7" s="29" t="n">
        <v>200000</v>
      </c>
      <c r="K7" s="41" t="inlineStr">
        <is>
          <t>Status Row# (CapLoss Limit)</t>
        </is>
      </c>
      <c r="L7" s="42">
        <f>MATCH(C5,Params_Federal!$A$45:$A$49,0)</f>
        <v/>
      </c>
    </row>
    <row r="8">
      <c r="B8" s="35" t="inlineStr">
        <is>
          <t>Realized Short-Term Capital Gains (current year)</t>
        </is>
      </c>
      <c r="C8" s="29" t="n">
        <v>5000</v>
      </c>
    </row>
    <row r="9">
      <c r="B9" s="35" t="inlineStr">
        <is>
          <t>Realized Long-Term Capital Gains (current year)</t>
        </is>
      </c>
      <c r="C9" s="29" t="n">
        <v>20000</v>
      </c>
      <c r="K9" s="46" t="inlineStr">
        <is>
          <t>Federal Ordinary Brackets</t>
        </is>
      </c>
    </row>
    <row r="10">
      <c r="B10" s="35" t="inlineStr">
        <is>
          <t>Realized Losses (current year, already recognized)</t>
        </is>
      </c>
      <c r="C10" s="29" t="n">
        <v>0</v>
      </c>
      <c r="K10" s="47">
        <f>INDEX(Params_Federal!D$6:D$1005,L5)</f>
        <v/>
      </c>
      <c r="L10" s="48">
        <f>INDEX(Params_Federal!E$6:E$1005,L5)</f>
        <v/>
      </c>
      <c r="M10" s="48">
        <f>INDEX(Params_Federal!F$6:F$1005,L5)</f>
        <v/>
      </c>
    </row>
    <row r="11">
      <c r="B11" s="35" t="inlineStr">
        <is>
          <t>Capital-Loss Carryforward (prior years)</t>
        </is>
      </c>
      <c r="C11" s="29" t="n">
        <v>0</v>
      </c>
      <c r="K11" s="47">
        <f>INDEX(Params_Federal!G$6:G$1005,L5)</f>
        <v/>
      </c>
      <c r="L11" s="48">
        <f>INDEX(Params_Federal!H$6:H$1005,L5)</f>
        <v/>
      </c>
      <c r="M11" s="48">
        <f>INDEX(Params_Federal!I$6:I$1005,L5)</f>
        <v/>
      </c>
    </row>
    <row r="12">
      <c r="B12" s="33" t="inlineStr">
        <is>
          <t>Unrealized Losses Being Considered for Harvest</t>
        </is>
      </c>
      <c r="C12" s="29" t="n">
        <v>10000</v>
      </c>
      <c r="K12" s="47">
        <f>INDEX(Params_Federal!J$6:J$1005,L5)</f>
        <v/>
      </c>
      <c r="L12" s="48">
        <f>INDEX(Params_Federal!K$6:K$1005,L5)</f>
        <v/>
      </c>
      <c r="M12" s="48">
        <f>INDEX(Params_Federal!L$6:L$1005,L5)</f>
        <v/>
      </c>
    </row>
    <row r="13">
      <c r="K13" s="47">
        <f>INDEX(Params_Federal!M$6:M$1005,L5)</f>
        <v/>
      </c>
      <c r="L13" s="48">
        <f>INDEX(Params_Federal!N$6:N$1005,L5)</f>
        <v/>
      </c>
      <c r="M13" s="48">
        <f>INDEX(Params_Federal!O$6:O$1005,L5)</f>
        <v/>
      </c>
    </row>
    <row r="14" ht="18" customHeight="1">
      <c r="A14" s="6" t="inlineStr">
        <is>
          <t>Netting - Before Harvest</t>
        </is>
      </c>
      <c r="B14" s="7" t="n"/>
      <c r="C14" s="7" t="n"/>
      <c r="D14" s="7" t="n"/>
      <c r="K14" s="47">
        <f>INDEX(Params_Federal!P$6:P$1005,L5)</f>
        <v/>
      </c>
      <c r="L14" s="48">
        <f>INDEX(Params_Federal!Q$6:Q$1005,L5)</f>
        <v/>
      </c>
      <c r="M14" s="48">
        <f>INDEX(Params_Federal!R$6:R$1005,L5)</f>
        <v/>
      </c>
    </row>
    <row r="15">
      <c r="B15" s="35" t="inlineStr">
        <is>
          <t>Net Long-Term Gain (before harvest)</t>
        </is>
      </c>
      <c r="C15" s="36">
        <f>(C9-C10-C11)</f>
        <v/>
      </c>
      <c r="K15" s="47">
        <f>INDEX(Params_Federal!S$6:S$1005,L5)</f>
        <v/>
      </c>
      <c r="L15" s="48">
        <f>INDEX(Params_Federal!T$6:T$1005,L5)</f>
        <v/>
      </c>
      <c r="M15" s="48">
        <f>INDEX(Params_Federal!U$6:U$1005,L5)</f>
        <v/>
      </c>
    </row>
    <row r="16">
      <c r="B16" s="35" t="inlineStr">
        <is>
          <t>Combined Net Capital Gain (before harvest)</t>
        </is>
      </c>
      <c r="C16" s="36">
        <f>(C8+C15)</f>
        <v/>
      </c>
      <c r="K16" s="47">
        <f>INDEX(Params_Federal!V$6:V$1005,L5)</f>
        <v/>
      </c>
      <c r="L16" s="48">
        <f>INDEX(Params_Federal!W$6:W$1005,L5)</f>
        <v/>
      </c>
      <c r="M16" s="48">
        <f>INDEX(Params_Federal!X$6:X$1005,L5)</f>
        <v/>
      </c>
    </row>
    <row r="17">
      <c r="B17" s="35" t="inlineStr">
        <is>
          <t>Capital Loss Limit vs. Ordinary Income</t>
        </is>
      </c>
      <c r="C17" s="36">
        <f>INDEX(Params_Federal!$D$45:$D$49,L7)</f>
        <v/>
      </c>
    </row>
    <row r="18">
      <c r="B18" s="35" t="inlineStr">
        <is>
          <t>Ordinary-Taxed Capital Gain (before harvest)</t>
        </is>
      </c>
      <c r="C18" s="36">
        <f>IF(C16&lt;=0,MAX(C16,-C17),IF(AND(C8&gt;=0,C15&gt;=0),C8,IF(AND(C8&lt;0,C15&gt;=0),0,IF(AND(C8&gt;=0,C15&lt;0),C16,0))))</f>
        <v/>
      </c>
      <c r="K18" s="46" t="inlineStr">
        <is>
          <t>LTCG Brackets</t>
        </is>
      </c>
    </row>
    <row r="19">
      <c r="B19" s="35" t="inlineStr">
        <is>
          <t>Preferential Net Capital Gain (before harvest)</t>
        </is>
      </c>
      <c r="C19" s="36">
        <f>IF(C16&lt;=0,0,IF(AND(C8&gt;=0,C15&gt;=0),C15,IF(AND(C8&lt;0,C15&gt;=0),C16,IF(AND(C8&gt;=0,C15&lt;0),0,0))))</f>
        <v/>
      </c>
      <c r="K19" s="47">
        <f>INDEX(Params_Federal!D$19:D$1018,L6)</f>
        <v/>
      </c>
      <c r="L19" s="48">
        <f>INDEX(Params_Federal!E$19:E$1018,L6)</f>
        <v/>
      </c>
      <c r="M19" s="48">
        <f>INDEX(Params_Federal!F$19:F$1018,L6)</f>
        <v/>
      </c>
    </row>
    <row r="20">
      <c r="K20" s="47">
        <f>INDEX(Params_Federal!G$19:G$1018,L6)</f>
        <v/>
      </c>
      <c r="L20" s="48">
        <f>INDEX(Params_Federal!H$19:H$1018,L6)</f>
        <v/>
      </c>
      <c r="M20" s="48">
        <f>INDEX(Params_Federal!I$19:I$1018,L6)</f>
        <v/>
      </c>
    </row>
    <row r="21" ht="18" customHeight="1">
      <c r="A21" s="6" t="inlineStr">
        <is>
          <t>Netting - After Harvest</t>
        </is>
      </c>
      <c r="B21" s="7" t="n"/>
      <c r="C21" s="7" t="n"/>
      <c r="D21" s="7" t="n"/>
      <c r="K21" s="47">
        <f>INDEX(Params_Federal!J$19:J$1018,L6)</f>
        <v/>
      </c>
      <c r="L21" s="48">
        <f>INDEX(Params_Federal!K$19:K$1018,L6)</f>
        <v/>
      </c>
      <c r="M21" s="48">
        <f>INDEX(Params_Federal!L$19:L$1018,L6)</f>
        <v/>
      </c>
    </row>
    <row r="22">
      <c r="B22" s="35" t="inlineStr">
        <is>
          <t>Net Long-Term Gain (after harvest)</t>
        </is>
      </c>
      <c r="C22" s="36">
        <f>(C15-C12)</f>
        <v/>
      </c>
    </row>
    <row r="23">
      <c r="B23" s="35" t="inlineStr">
        <is>
          <t>Combined Net Capital Gain (after harvest)</t>
        </is>
      </c>
      <c r="C23" s="36">
        <f>(C8+C22)</f>
        <v/>
      </c>
    </row>
    <row r="24">
      <c r="B24" s="33" t="inlineStr">
        <is>
          <t>Ordinary-Taxed Capital Gain (after harvest)</t>
        </is>
      </c>
      <c r="C24" s="43">
        <f>IF(C23&lt;=0,MAX(C23,-C17),IF(AND(C8&gt;=0,C22&gt;=0),C8,IF(AND(C8&lt;0,C22&gt;=0),0,IF(AND(C8&gt;=0,C22&lt;0),C23,0))))</f>
        <v/>
      </c>
    </row>
    <row r="25">
      <c r="B25" s="33" t="inlineStr">
        <is>
          <t>Preferential Net Capital Gain (after harvest)</t>
        </is>
      </c>
      <c r="C25" s="43">
        <f>IF(C23&lt;=0,0,IF(AND(C8&gt;=0,C22&gt;=0),C22,IF(AND(C8&lt;0,C22&gt;=0),C23,IF(AND(C8&gt;=0,C22&lt;0),0,0))))</f>
        <v/>
      </c>
    </row>
    <row r="26">
      <c r="B26" s="33" t="inlineStr">
        <is>
          <t>Remaining Capital-Loss Carryforward (after harvest)</t>
        </is>
      </c>
      <c r="C26" s="49">
        <f>IF(C23&lt;=0,C23-MAX(C23,-C17),0)</f>
        <v/>
      </c>
    </row>
    <row r="28" ht="18" customHeight="1">
      <c r="A28" s="6" t="inlineStr">
        <is>
          <t>Tax Impact</t>
        </is>
      </c>
      <c r="B28" s="7" t="n"/>
      <c r="C28" s="7" t="n"/>
      <c r="D28" s="7" t="n"/>
    </row>
    <row r="29">
      <c r="B29" s="35" t="inlineStr">
        <is>
          <t>Ordinary Taxable Income Before Harvest</t>
        </is>
      </c>
      <c r="C29" s="36">
        <f>MAX(0,C7+C18)</f>
        <v/>
      </c>
    </row>
    <row r="30">
      <c r="B30" s="35" t="inlineStr">
        <is>
          <t>Ordinary Taxable Income After Harvest</t>
        </is>
      </c>
      <c r="C30" s="36">
        <f>MAX(0,C7+C24)</f>
        <v/>
      </c>
    </row>
    <row r="31">
      <c r="B31" s="33" t="inlineStr">
        <is>
          <t>Federal Tax Before Harvest</t>
        </is>
      </c>
      <c r="C31" s="43">
        <f>SUMPRODUCT((C29&gt;$L$10:$L$16)*($K$10:$K$16)*(MIN(C29,$M$10:$M$16)-$L$10:$L$16))+SUMPRODUCT($K$19:$K$21*(MAX(0,MIN((C29+C19),$M$19:$M$21)-MAX(C29,$L$19:$L$21))))</f>
        <v/>
      </c>
    </row>
    <row r="32">
      <c r="B32" s="33" t="inlineStr">
        <is>
          <t>Federal Tax After Harvest</t>
        </is>
      </c>
      <c r="C32" s="43">
        <f>SUMPRODUCT((C30&gt;$L$10:$L$16)*($K$10:$K$16)*(MIN(C30,$M$10:$M$16)-$L$10:$L$16))+SUMPRODUCT($K$19:$K$21*(MAX(0,MIN((C30+C25),$M$19:$M$21)-MAX(C30,$L$19:$L$21))))</f>
        <v/>
      </c>
    </row>
    <row r="33">
      <c r="B33" s="51" t="inlineStr">
        <is>
          <t>Estimated Tax Savings from Harvesting</t>
        </is>
      </c>
      <c r="C33" s="49">
        <f>(C31-C32)</f>
        <v/>
      </c>
    </row>
    <row r="34">
      <c r="B34" s="33" t="inlineStr">
        <is>
          <t>Additional Loss Used Against Ordinary Income This Year</t>
        </is>
      </c>
      <c r="C34" s="43">
        <f>MIN(C12,MAX(0,C18-C24))</f>
        <v/>
      </c>
    </row>
  </sheetData>
  <mergeCells count="6">
    <mergeCell ref="A1:D1"/>
    <mergeCell ref="A4:D4"/>
    <mergeCell ref="A21:D21"/>
    <mergeCell ref="A2:D2"/>
    <mergeCell ref="A28:D28"/>
    <mergeCell ref="A14:D14"/>
  </mergeCells>
  <dataValidations count="2">
    <dataValidation sqref="C5" showDropDown="0" showInputMessage="0" showErrorMessage="0" allowBlank="0" type="list">
      <formula1>"Single,Married Filing Jointly,Married Filing Separately,Head of Household,Qualifying Surviving Spouse"</formula1>
    </dataValidation>
    <dataValidation sqref="C6" showDropDown="0" showInputMessage="0" showErrorMessage="0" allowBlank="0" type="list">
      <formula1>"2024,2025"</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4"/>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outlineLevelCol="0"/>
  <cols>
    <col width="3" customWidth="1" min="1" max="1"/>
    <col width="50" customWidth="1" min="2" max="2"/>
    <col width="17" customWidth="1" min="3" max="3"/>
    <col width="30" customWidth="1" min="4" max="4"/>
    <col width="12" customWidth="1" min="11" max="11"/>
    <col width="12" customWidth="1" min="12" max="12"/>
    <col width="12" customWidth="1" min="13" max="13"/>
    <col width="12" customWidth="1" min="14" max="14"/>
  </cols>
  <sheetData>
    <row r="1" ht="28" customHeight="1">
      <c r="A1" s="59" t="inlineStr">
        <is>
          <t>ADDITIONAL PRE-TAX RETIREMENT CONTRIBUTION ESTIMATOR</t>
        </is>
      </c>
    </row>
    <row r="2">
      <c r="A2" s="20" t="inlineStr">
        <is>
          <t>Estimates the federal and state tax savings, and the true after-tax cost, of an additional pre-tax contribution.</t>
        </is>
      </c>
    </row>
    <row r="3">
      <c r="K3" s="40" t="inlineStr">
        <is>
          <t>WORKING LOOKUP TABLES</t>
        </is>
      </c>
    </row>
    <row r="4" ht="18" customHeight="1">
      <c r="A4" s="6" t="inlineStr">
        <is>
          <t>Inputs</t>
        </is>
      </c>
      <c r="B4" s="7" t="n"/>
      <c r="C4" s="7" t="n"/>
      <c r="D4" s="7" t="n"/>
      <c r="K4" s="41" t="inlineStr">
        <is>
          <t>Fed Key</t>
        </is>
      </c>
      <c r="L4" s="42">
        <f>C6&amp;"|"&amp;C5</f>
        <v/>
      </c>
    </row>
    <row r="5">
      <c r="B5" s="33" t="inlineStr">
        <is>
          <t>Filing Status</t>
        </is>
      </c>
      <c r="C5" s="28" t="inlineStr">
        <is>
          <t>Married Filing Jointly</t>
        </is>
      </c>
      <c r="K5" s="41" t="inlineStr">
        <is>
          <t>Fed Row#</t>
        </is>
      </c>
      <c r="L5" s="42">
        <f>MATCH(L4,Params_Federal!$C$6:$C$15,0)</f>
        <v/>
      </c>
    </row>
    <row r="6">
      <c r="B6" s="33" t="inlineStr">
        <is>
          <t>Tax Year</t>
        </is>
      </c>
      <c r="C6" s="28" t="n">
        <v>2025</v>
      </c>
      <c r="K6" s="41" t="inlineStr">
        <is>
          <t>LTCG Row#</t>
        </is>
      </c>
      <c r="L6" s="42">
        <f>MATCH(L4,Params_Federal!$C$19:$C$28,0)</f>
        <v/>
      </c>
    </row>
    <row r="7">
      <c r="B7" s="33" t="inlineStr">
        <is>
          <t>State of Residence</t>
        </is>
      </c>
      <c r="C7" s="28" t="inlineStr">
        <is>
          <t>California</t>
        </is>
      </c>
      <c r="K7" s="41" t="inlineStr">
        <is>
          <t>State Code</t>
        </is>
      </c>
      <c r="L7" s="42">
        <f>INDEX(Params_State!$A$6:$A$37,MATCH(C7,Params_State!$B$6:$B$37,0))</f>
        <v/>
      </c>
    </row>
    <row r="8">
      <c r="B8" s="34" t="inlineStr">
        <is>
          <t>State Tax Rate if 'Other (Manual Entry)' Selected</t>
        </is>
      </c>
      <c r="C8" s="30" t="n">
        <v>0.05</v>
      </c>
      <c r="K8" s="41" t="inlineStr">
        <is>
          <t>State Category</t>
        </is>
      </c>
      <c r="L8" s="42">
        <f>IF(OR(C5="Married Filing Jointly",C5="Qualifying Surviving Spouse"),"MFJ","Single")</f>
        <v/>
      </c>
    </row>
    <row r="9">
      <c r="B9" s="35" t="inlineStr">
        <is>
          <t>Contribution Reduces State Taxable Income?</t>
        </is>
      </c>
      <c r="C9" s="38" t="inlineStr">
        <is>
          <t>Y</t>
        </is>
      </c>
      <c r="K9" s="41" t="inlineStr">
        <is>
          <t>State Key</t>
        </is>
      </c>
      <c r="L9" s="42">
        <f>L7&amp;"|"&amp;L8</f>
        <v/>
      </c>
    </row>
    <row r="10">
      <c r="B10" s="35" t="inlineStr">
        <is>
          <t>Current Ordinary Taxable Income (before this contribution)</t>
        </is>
      </c>
      <c r="C10" s="29" t="n">
        <v>250000</v>
      </c>
      <c r="K10" s="41" t="inlineStr">
        <is>
          <t>State Bracket Row#</t>
        </is>
      </c>
      <c r="L10" s="42">
        <f>MATCH(L9,Params_State!$C$41:$C$104,0)</f>
        <v/>
      </c>
    </row>
    <row r="11">
      <c r="B11" s="35" t="inlineStr">
        <is>
          <t>Preferential Income Already Stacked on Top (QDI/LTCG, if any)</t>
        </is>
      </c>
      <c r="C11" s="29" t="n">
        <v>0</v>
      </c>
    </row>
    <row r="12">
      <c r="B12" s="33" t="inlineStr">
        <is>
          <t>Proposed Additional Pre-Tax Contribution</t>
        </is>
      </c>
      <c r="C12" s="29" t="n">
        <v>10000</v>
      </c>
      <c r="K12" s="46" t="inlineStr">
        <is>
          <t>Federal Ordinary Brackets</t>
        </is>
      </c>
    </row>
    <row r="13">
      <c r="K13" s="47">
        <f>INDEX(Params_Federal!D$6:D$1005,L5)</f>
        <v/>
      </c>
      <c r="L13" s="48">
        <f>INDEX(Params_Federal!E$6:E$1005,L5)</f>
        <v/>
      </c>
      <c r="M13" s="48">
        <f>INDEX(Params_Federal!F$6:F$1005,L5)</f>
        <v/>
      </c>
    </row>
    <row r="14" ht="18" customHeight="1">
      <c r="A14" s="6" t="inlineStr">
        <is>
          <t>Results</t>
        </is>
      </c>
      <c r="B14" s="7" t="n"/>
      <c r="C14" s="7" t="n"/>
      <c r="D14" s="7" t="n"/>
      <c r="K14" s="47">
        <f>INDEX(Params_Federal!G$6:G$1005,L5)</f>
        <v/>
      </c>
      <c r="L14" s="48">
        <f>INDEX(Params_Federal!H$6:H$1005,L5)</f>
        <v/>
      </c>
      <c r="M14" s="48">
        <f>INDEX(Params_Federal!I$6:I$1005,L5)</f>
        <v/>
      </c>
    </row>
    <row r="15">
      <c r="B15" s="33" t="inlineStr">
        <is>
          <t>Taxable Income After Contribution</t>
        </is>
      </c>
      <c r="C15" s="43">
        <f>MAX(0,C10-C12)</f>
        <v/>
      </c>
      <c r="K15" s="47">
        <f>INDEX(Params_Federal!J$6:J$1005,L5)</f>
        <v/>
      </c>
      <c r="L15" s="48">
        <f>INDEX(Params_Federal!K$6:K$1005,L5)</f>
        <v/>
      </c>
      <c r="M15" s="48">
        <f>INDEX(Params_Federal!L$6:L$1005,L5)</f>
        <v/>
      </c>
    </row>
    <row r="16">
      <c r="B16" s="33" t="inlineStr">
        <is>
          <t>Federal Tax Before (ordinary + any stacked preferential income)</t>
        </is>
      </c>
      <c r="C16" s="43">
        <f>SUMPRODUCT((C10&gt;$L$13:$L$19)*($K$13:$K$19)*(MIN(C10,$M$13:$M$19)-$L$13:$L$19))+SUMPRODUCT($K$22:$K$24*(MAX(0,MIN((C10+C11),$M$22:$M$24)-MAX(C10,$L$22:$L$24))))</f>
        <v/>
      </c>
      <c r="K16" s="47">
        <f>INDEX(Params_Federal!M$6:M$1005,L5)</f>
        <v/>
      </c>
      <c r="L16" s="48">
        <f>INDEX(Params_Federal!N$6:N$1005,L5)</f>
        <v/>
      </c>
      <c r="M16" s="48">
        <f>INDEX(Params_Federal!O$6:O$1005,L5)</f>
        <v/>
      </c>
    </row>
    <row r="17">
      <c r="B17" s="33" t="inlineStr">
        <is>
          <t>Federal Tax After</t>
        </is>
      </c>
      <c r="C17" s="43">
        <f>SUMPRODUCT((C15&gt;$L$13:$L$19)*($K$13:$K$19)*(MIN(C15,$M$13:$M$19)-$L$13:$L$19))+SUMPRODUCT($K$22:$K$24*(MAX(0,MIN((C15+C11),$M$22:$M$24)-MAX(C15,$L$22:$L$24))))</f>
        <v/>
      </c>
      <c r="K17" s="47">
        <f>INDEX(Params_Federal!P$6:P$1005,L5)</f>
        <v/>
      </c>
      <c r="L17" s="48">
        <f>INDEX(Params_Federal!Q$6:Q$1005,L5)</f>
        <v/>
      </c>
      <c r="M17" s="48">
        <f>INDEX(Params_Federal!R$6:R$1005,L5)</f>
        <v/>
      </c>
    </row>
    <row r="18">
      <c r="B18" s="33" t="inlineStr">
        <is>
          <t>Federal Tax Savings</t>
        </is>
      </c>
      <c r="C18" s="49">
        <f>(C16-C17)</f>
        <v/>
      </c>
      <c r="K18" s="47">
        <f>INDEX(Params_Federal!S$6:S$1005,L5)</f>
        <v/>
      </c>
      <c r="L18" s="48">
        <f>INDEX(Params_Federal!T$6:T$1005,L5)</f>
        <v/>
      </c>
      <c r="M18" s="48">
        <f>INDEX(Params_Federal!U$6:U$1005,L5)</f>
        <v/>
      </c>
    </row>
    <row r="19">
      <c r="B19" s="35" t="inlineStr">
        <is>
          <t>State Tax Before</t>
        </is>
      </c>
      <c r="C19" s="36">
        <f>IF(L7="OTHER",C8*C10,SUMPRODUCT((C10&gt;$L$27:$L$34)*($K$27:$K$34)*(MIN(C10,$M$27:$M$34)-$L$27:$L$34)))</f>
        <v/>
      </c>
      <c r="K19" s="47">
        <f>INDEX(Params_Federal!V$6:V$1005,L5)</f>
        <v/>
      </c>
      <c r="L19" s="48">
        <f>INDEX(Params_Federal!W$6:W$1005,L5)</f>
        <v/>
      </c>
      <c r="M19" s="48">
        <f>INDEX(Params_Federal!X$6:X$1005,L5)</f>
        <v/>
      </c>
    </row>
    <row r="20">
      <c r="B20" s="35" t="inlineStr">
        <is>
          <t>State Tax After (if contribution reduces state taxable income)</t>
        </is>
      </c>
      <c r="C20" s="36">
        <f>IF(C9="N",C19,IF(L7="OTHER",C8*C15,SUMPRODUCT((C15&gt;$L$27:$L$34)*($K$27:$K$34)*(MIN(C15,$M$27:$M$34)-$L$27:$L$34))))</f>
        <v/>
      </c>
    </row>
    <row r="21">
      <c r="B21" s="33" t="inlineStr">
        <is>
          <t>State Tax Savings</t>
        </is>
      </c>
      <c r="C21" s="49">
        <f>(C19-C20)</f>
        <v/>
      </c>
      <c r="K21" s="46" t="inlineStr">
        <is>
          <t>LTCG Brackets</t>
        </is>
      </c>
    </row>
    <row r="22">
      <c r="B22" s="51" t="inlineStr">
        <is>
          <t>Total Estimated Tax Savings</t>
        </is>
      </c>
      <c r="C22" s="49">
        <f>(C18+C21)</f>
        <v/>
      </c>
      <c r="K22" s="47">
        <f>INDEX(Params_Federal!D$19:D$1018,L6)</f>
        <v/>
      </c>
      <c r="L22" s="48">
        <f>INDEX(Params_Federal!E$19:E$1018,L6)</f>
        <v/>
      </c>
      <c r="M22" s="48">
        <f>INDEX(Params_Federal!F$19:F$1018,L6)</f>
        <v/>
      </c>
    </row>
    <row r="23">
      <c r="B23" s="51" t="inlineStr">
        <is>
          <t>Estimated After-Tax Cost of the Contribution</t>
        </is>
      </c>
      <c r="C23" s="49">
        <f>(C12-C22)</f>
        <v/>
      </c>
      <c r="K23" s="47">
        <f>INDEX(Params_Federal!G$19:G$1018,L6)</f>
        <v/>
      </c>
      <c r="L23" s="48">
        <f>INDEX(Params_Federal!H$19:H$1018,L6)</f>
        <v/>
      </c>
      <c r="M23" s="48">
        <f>INDEX(Params_Federal!I$19:I$1018,L6)</f>
        <v/>
      </c>
    </row>
    <row r="24">
      <c r="B24" s="35" t="inlineStr">
        <is>
          <t>Effective Savings Rate on the Contribution</t>
        </is>
      </c>
      <c r="C24" s="50">
        <f>IFERROR(C22/C12,0)</f>
        <v/>
      </c>
      <c r="K24" s="47">
        <f>INDEX(Params_Federal!J$19:J$1018,L6)</f>
        <v/>
      </c>
      <c r="L24" s="48">
        <f>INDEX(Params_Federal!K$19:K$1018,L6)</f>
        <v/>
      </c>
      <c r="M24" s="48">
        <f>INDEX(Params_Federal!L$19:L$1018,L6)</f>
        <v/>
      </c>
    </row>
    <row r="26">
      <c r="K26" s="46" t="inlineStr">
        <is>
          <t>State Brackets</t>
        </is>
      </c>
    </row>
    <row r="27">
      <c r="K27" s="47">
        <f>INDEX(Params_State!D$41:D$1040,L10)</f>
        <v/>
      </c>
      <c r="L27" s="48">
        <f>INDEX(Params_State!E$41:E$1040,L10)</f>
        <v/>
      </c>
      <c r="M27" s="48">
        <f>INDEX(Params_State!F$41:F$1040,L10)</f>
        <v/>
      </c>
    </row>
    <row r="28">
      <c r="K28" s="47">
        <f>INDEX(Params_State!G$41:G$1040,L10)</f>
        <v/>
      </c>
      <c r="L28" s="48">
        <f>INDEX(Params_State!H$41:H$1040,L10)</f>
        <v/>
      </c>
      <c r="M28" s="48">
        <f>INDEX(Params_State!I$41:I$1040,L10)</f>
        <v/>
      </c>
    </row>
    <row r="29">
      <c r="K29" s="47">
        <f>INDEX(Params_State!J$41:J$1040,L10)</f>
        <v/>
      </c>
      <c r="L29" s="48">
        <f>INDEX(Params_State!K$41:K$1040,L10)</f>
        <v/>
      </c>
      <c r="M29" s="48">
        <f>INDEX(Params_State!L$41:L$1040,L10)</f>
        <v/>
      </c>
    </row>
    <row r="30">
      <c r="K30" s="47">
        <f>INDEX(Params_State!M$41:M$1040,L10)</f>
        <v/>
      </c>
      <c r="L30" s="48">
        <f>INDEX(Params_State!N$41:N$1040,L10)</f>
        <v/>
      </c>
      <c r="M30" s="48">
        <f>INDEX(Params_State!O$41:O$1040,L10)</f>
        <v/>
      </c>
    </row>
    <row r="31">
      <c r="K31" s="47">
        <f>INDEX(Params_State!P$41:P$1040,L10)</f>
        <v/>
      </c>
      <c r="L31" s="48">
        <f>INDEX(Params_State!Q$41:Q$1040,L10)</f>
        <v/>
      </c>
      <c r="M31" s="48">
        <f>INDEX(Params_State!R$41:R$1040,L10)</f>
        <v/>
      </c>
    </row>
    <row r="32">
      <c r="K32" s="47">
        <f>INDEX(Params_State!S$41:S$1040,L10)</f>
        <v/>
      </c>
      <c r="L32" s="48">
        <f>INDEX(Params_State!T$41:T$1040,L10)</f>
        <v/>
      </c>
      <c r="M32" s="48">
        <f>INDEX(Params_State!U$41:U$1040,L10)</f>
        <v/>
      </c>
    </row>
    <row r="33">
      <c r="K33" s="47">
        <f>INDEX(Params_State!V$41:V$1040,L10)</f>
        <v/>
      </c>
      <c r="L33" s="48">
        <f>INDEX(Params_State!W$41:W$1040,L10)</f>
        <v/>
      </c>
      <c r="M33" s="48">
        <f>INDEX(Params_State!X$41:X$1040,L10)</f>
        <v/>
      </c>
    </row>
    <row r="34">
      <c r="K34" s="47">
        <f>INDEX(Params_State!Y$41:Y$1040,L10)</f>
        <v/>
      </c>
      <c r="L34" s="48">
        <f>INDEX(Params_State!Z$41:Z$1040,L10)</f>
        <v/>
      </c>
      <c r="M34" s="48">
        <f>INDEX(Params_State!AA$41:AA$1040,L10)</f>
        <v/>
      </c>
    </row>
  </sheetData>
  <mergeCells count="4">
    <mergeCell ref="A1:D1"/>
    <mergeCell ref="A14:D14"/>
    <mergeCell ref="A4:D4"/>
    <mergeCell ref="A2:D2"/>
  </mergeCells>
  <dataValidations count="4">
    <dataValidation sqref="C5" showDropDown="0" showInputMessage="0" showErrorMessage="0" allowBlank="0" type="list">
      <formula1>"Single,Married Filing Jointly,Married Filing Separately,Head of Household,Qualifying Surviving Spouse"</formula1>
    </dataValidation>
    <dataValidation sqref="C6" showDropDown="0" showInputMessage="0" showErrorMessage="0" allowBlank="0" type="list">
      <formula1>"2024,2025"</formula1>
    </dataValidation>
    <dataValidation sqref="C7" showDropDown="0" showInputMessage="0" showErrorMessage="0" allowBlank="0" type="list">
      <formula1>=Params_State!$B$6:$B$37</formula1>
    </dataValidation>
    <dataValidation sqref="C9" showDropDown="0" showInputMessage="0" showErrorMessage="0" allowBlank="0" type="list">
      <formula1>"Y,N"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7"/>
  <sheetViews>
    <sheetView showGridLines="0" zoomScale="100" workbookViewId="0">
      <pane ySplit="3" topLeftCell="A4" activePane="bottomLeft" state="frozen"/>
      <selection pane="bottomLeft" activeCell="A1" sqref="A1"/>
    </sheetView>
  </sheetViews>
  <sheetFormatPr baseColWidth="8" defaultRowHeight="15" outlineLevelCol="0"/>
  <cols>
    <col width="3" customWidth="1" min="1" max="1"/>
    <col width="100" customWidth="1" min="2" max="2"/>
  </cols>
  <sheetData>
    <row r="1" ht="28" customHeight="1">
      <c r="A1" s="19" t="inlineStr">
        <is>
          <t>DISCLAIMER &amp; METHODOLOGY / ASSUMPTIONS</t>
        </is>
      </c>
    </row>
    <row r="3">
      <c r="A3" s="64" t="inlineStr">
        <is>
          <t>Tax estimates are for educational and financial-planning purposes only. Actual tax liability may differ based on individual circumstances, deductions, credits, tax elections, state/local rules, and other factors. This calculator does not provide tax, legal, or accounting advice. Consult a qualified tax professional regarding your individual situation.</t>
        </is>
      </c>
      <c r="B3" s="5" t="n"/>
    </row>
    <row r="4">
      <c r="B4" s="5" t="n"/>
    </row>
    <row r="5">
      <c r="B5" s="5" t="n"/>
    </row>
    <row r="6">
      <c r="B6" s="5" t="n"/>
    </row>
    <row r="7">
      <c r="B7" s="5" t="n"/>
    </row>
    <row r="9" ht="18" customHeight="1">
      <c r="A9" s="6" t="inlineStr">
        <is>
          <t>How Figures Are Sourced</t>
        </is>
      </c>
      <c r="B9" s="7" t="n"/>
    </row>
    <row r="10" ht="42" customHeight="1">
      <c r="A10" s="17" t="inlineStr">
        <is>
          <t>• Tax Year Coverage: 2024 and 2025. All bracket, deduction, credit, and limit figures live on the Params_Federal, Params_State, and Params_Local tabs (not hardcoded in formulas), so the workbook can be extended to future tax years by adding rows to those tables.</t>
        </is>
      </c>
    </row>
    <row r="11" ht="42" customHeight="1">
      <c r="A11" s="17" t="inlineStr">
        <is>
          <t>• Federal ordinary brackets, standard deductions, and long-term capital gains / qualified dividend brackets reflect published IRS inflation-adjusted figures for 2024 and 2025.</t>
        </is>
      </c>
    </row>
    <row r="12" ht="42" customHeight="1">
      <c r="A12" s="17" t="inlineStr">
        <is>
          <t>• The Net Investment Income Tax (3.8%) and Additional Medicare Tax (0.9%) thresholds are fixed by statute and have not been inflation-adjusted since enactment (2013).</t>
        </is>
      </c>
    </row>
    <row r="13" ht="42" customHeight="1">
      <c r="A13" s="17" t="inlineStr">
        <is>
          <t>• The SALT itemized deduction cap reflects the $10,000 TCJA-era cap for 2024 and the higher, phased cap enacted for 2025 and later years; the 2025+ figure does not model the high-income phase-down and should be verified for clients above roughly $500,000 of income.</t>
        </is>
      </c>
    </row>
    <row r="14" ht="42" customHeight="1">
      <c r="A14" s="17" t="inlineStr">
        <is>
          <t>• Modified AGI (MAGI) for NIIT purposes is approximated as AGI (no addback for excluded foreign earned income, which is uncommon for most clients).</t>
        </is>
      </c>
    </row>
    <row r="15" ht="42" customHeight="1">
      <c r="A15" s="17" t="inlineStr">
        <is>
          <t>• Additional Medicare Tax is modeled as the total-liability version (0.9% on combined wages and self-employment income above the filing-status threshold), not the separate per-employer withholding mechanics of IRS Form 8959.</t>
        </is>
      </c>
    </row>
    <row r="17" ht="18" customHeight="1">
      <c r="A17" s="6" t="inlineStr">
        <is>
          <t>Capital Gains, Losses &amp; Netting</t>
        </is>
      </c>
      <c r="B17" s="7" t="n"/>
    </row>
    <row r="18" ht="42" customHeight="1">
      <c r="A18" s="17" t="inlineStr">
        <is>
          <t>• Short-term and long-term gains/losses are netted using standard IRC Sec. 1211/1222 ordering: a net short-term loss first offsets net long-term gain (and vice versa) before any loss is allowed against ordinary income, capped at $3,000 ($1,500 if Married Filing Separately) with the remainder carried forward indefinitely.</t>
        </is>
      </c>
    </row>
    <row r="19" ht="42" customHeight="1">
      <c r="A19" s="17" t="inlineStr">
        <is>
          <t>• Prior-year capital-loss carryforwards are assumed to retain long-term character.</t>
        </is>
      </c>
    </row>
    <row r="20" ht="42" customHeight="1">
      <c r="A20" s="17" t="inlineStr">
        <is>
          <t>• Long-term capital gains and qualified dividends are 'stacked' on top of ordinary taxable income when applying the 0%/15%/20% preferential brackets, so they are taxed at the rate(s) that actually apply given the household's total income - not an average rate.</t>
        </is>
      </c>
    </row>
    <row r="22" ht="18" customHeight="1">
      <c r="A22" s="6" t="inlineStr">
        <is>
          <t>State &amp; Local Tax</t>
        </is>
      </c>
      <c r="B22" s="7" t="n"/>
    </row>
    <row r="23" ht="42" customHeight="1">
      <c r="A23" s="17" t="inlineStr">
        <is>
          <t>• Calculator 1 and Calculator 2 include 31 states plus Washington D.C., covering no-tax, flat-tax, and progressive-tax structures, plus a 'Other (Manual Entry)' option for any state not explicitly modeled. This is not all 50 states - verify current-year figures for the client's specific state before use.</t>
        </is>
      </c>
    </row>
    <row r="24" ht="42" customHeight="1">
      <c r="A24" s="17" t="inlineStr">
        <is>
          <t>• State brackets are simplified into two filing categories: 'Single' (applied to Single, Married Filing Separately, and Head of Household) and 'MFJ' (applied to Married Filing Jointly and Qualifying Surviving Spouse). Some states use separate Head of Household brackets that are not separately modeled.</t>
        </is>
      </c>
    </row>
    <row r="25" ht="42" customHeight="1">
      <c r="A25" s="17" t="inlineStr">
        <is>
          <t>• State parameters reflect approximately 2024-2025 law and are not separately indexed by tax year; update the Params_State tab as new state guidance is published.</t>
        </is>
      </c>
    </row>
    <row r="26" ht="42" customHeight="1">
      <c r="A26" s="17" t="inlineStr">
        <is>
          <t>• All states are assumed to tax capital gains as ordinary income (i.e., no separate state preferential capital-gains rate), which is accurate for the large majority of states.</t>
        </is>
      </c>
    </row>
    <row r="27" ht="42" customHeight="1">
      <c r="A27" s="17" t="inlineStr">
        <is>
          <t>• Treatment of Social Security income and retirement-plan distributions (pension/401(k)/IRA) at the state level is modeled as a simple taxable/exempt flag per state and does not capture partial exclusions, age-based phase-ins, or income-based phase-outs used by some states.</t>
        </is>
      </c>
    </row>
    <row r="28" ht="42" customHeight="1">
      <c r="A28" s="17" t="inlineStr">
        <is>
          <t>• Tax-exempt municipal bond interest is assumed to be issued out-of-state and is therefore added back for state tax purposes. Bonds issued by the client's resident state are typically state-tax-exempt as well; adjust the 'Tax-Exempt Municipal Bond Interest' input if this does not apply.</t>
        </is>
      </c>
    </row>
    <row r="29" ht="42" customHeight="1">
      <c r="A29" s="17" t="inlineStr">
        <is>
          <t>• Local/municipal taxes are modeled for a representative sample of localities (New York City, Yonkers, Philadelphia, Pittsburgh, Detroit, several Ohio and Missouri cities, and average Maryland/Indiana county rates) plus a manual-entry option. Rates are approximate - verify with the specific locality.</t>
        </is>
      </c>
    </row>
    <row r="31" ht="18" customHeight="1">
      <c r="A31" s="6" t="inlineStr">
        <is>
          <t>Deductions &amp; Credits</t>
        </is>
      </c>
      <c r="B31" s="7" t="n"/>
    </row>
    <row r="32" ht="42" customHeight="1">
      <c r="A32" s="17" t="inlineStr">
        <is>
          <t>• The workbook automatically compares the standard deduction to itemized deductions (mortgage interest, SALT capped at the applicable limit, charitable contributions, medical expenses in excess of 7.5% of AGI, and other deductible expenses) and uses the larger amount unless the user forces a specific method.</t>
        </is>
      </c>
    </row>
    <row r="33" ht="42" customHeight="1">
      <c r="A33" s="17" t="inlineStr">
        <is>
          <t>• The Child Tax Credit phase-out is modeled as a continuous reduction of 5% of AGI over the threshold (approximating the statutory $50-per-$1,000 rounding convention).</t>
        </is>
      </c>
    </row>
    <row r="34" ht="42" customHeight="1">
      <c r="A34" s="17" t="inlineStr">
        <is>
          <t>• The Child &amp; Dependent Care Credit rate is modeled as a continuous linear interpolation between 35% and 20% across the AGI phase-out range (the statute actually steps down in 1% increments per $2,000 band); results are a close approximation.</t>
        </is>
      </c>
    </row>
    <row r="35" ht="42" customHeight="1">
      <c r="A35" s="17" t="inlineStr">
        <is>
          <t>• The Retirement Savings Contribution (Saver's) Credit uses a single household contribution cap for simplicity; if both spouses contribute, consider evaluating each spouse's contribution separately (each is eligible for credit on up to $2,000).</t>
        </is>
      </c>
    </row>
    <row r="36" ht="42" customHeight="1">
      <c r="A36" s="17" t="inlineStr">
        <is>
          <t>• Education credits, energy-related credits, and other miscellaneous credits are entered directly by the user as estimated dollar amounts rather than derived from detailed eligibility/phase-out rules, since those rules depend on facts (institution, expense type, equipment specifications, etc.) outside the scope of this workbook.</t>
        </is>
      </c>
    </row>
    <row r="38" ht="18" customHeight="1">
      <c r="A38" s="6" t="inlineStr">
        <is>
          <t>Payroll, Self-Employment &amp; Portfolio Calculators</t>
        </is>
      </c>
      <c r="B38" s="7" t="n"/>
    </row>
    <row r="39" ht="42" customHeight="1">
      <c r="A39" s="17" t="inlineStr">
        <is>
          <t>• Pre-tax contributions are modeled with independent Federal / State / FICA-wage-reduction flags per contribution type because treatment genuinely differs - for example, SIMPLE IRA salary-reduction contributions reduce federal and state taxable income but remain subject to FICA, unlike traditional 401(k)/403(b)/457(b) contributions, which are FICA-exempt.</t>
        </is>
      </c>
    </row>
    <row r="40" ht="42" customHeight="1">
      <c r="A40" s="17" t="inlineStr">
        <is>
          <t>• Self-employment tax and the Social Security wage base are coordinated per individual (each spouse's own W-2 wages reduce their own remaining SS wage base before self-employment earnings are subjected to the 12.4% Social Security portion of SE tax).</t>
        </is>
      </c>
    </row>
    <row r="41" ht="42" customHeight="1">
      <c r="A41" s="17" t="inlineStr">
        <is>
          <t>• Payroll taxes shown are the employee-side FICA for W-2 wages plus full self-employment tax (both halves) for self-employment income - this is a tax-liability estimate, not a paycheck-withholding calculation.</t>
        </is>
      </c>
    </row>
    <row r="42" ht="42" customHeight="1">
      <c r="A42" s="17" t="inlineStr">
        <is>
          <t>• Calculator 2 (Portfolio Tax Estimator) computes the incremental tax created by portfolio income: it layers ordinary investment income, then qualified dividends, then long-term capital gains on top of a salary-only baseline, so each layer is taxed at the bracket it actually falls into. It uses the standard deduction only (no itemized-deduction detail) and assumes no other income sources, consistent with its design goal of not requiring the client's full financial picture.</t>
        </is>
      </c>
    </row>
    <row r="43" ht="42" customHeight="1">
      <c r="A43" s="17" t="inlineStr">
        <is>
          <t>• The What-If Scenario, Tax-Loss Harvesting, and Retirement Contribution tools use simplified state-tax approximations (the state's bracket formula applied to adjusted state taxable income) rather than the full state exclusion logic used in Calculator 1.</t>
        </is>
      </c>
    </row>
    <row r="45" ht="18" customHeight="1">
      <c r="A45" s="6" t="inlineStr">
        <is>
          <t>General</t>
        </is>
      </c>
      <c r="B45" s="7" t="n"/>
    </row>
    <row r="46" ht="42" customHeight="1">
      <c r="A46" s="17" t="inlineStr">
        <is>
          <t>• This workbook is a planning tool, not a tax return. It does not model alternative minimum tax (AMT), the Qualified Business Income (Section 199A) deduction, Net Operating Losses, passive-activity loss limitations, at-risk rules, estimated-tax underpayment penalties, or every state/local nuance.</t>
        </is>
      </c>
    </row>
    <row r="47" ht="42" customHeight="1">
      <c r="A47" s="17" t="inlineStr">
        <is>
          <t>• All inputs marked in gold/blue are user-editable. All parameter tables (Params_Federal, Params_State, Params_Local) are user-editable and drive every calculation - update them as tax law changes.</t>
        </is>
      </c>
    </row>
  </sheetData>
  <mergeCells count="36">
    <mergeCell ref="A24:B24"/>
    <mergeCell ref="A15:B15"/>
    <mergeCell ref="A11:B11"/>
    <mergeCell ref="A45:B45"/>
    <mergeCell ref="A36:B36"/>
    <mergeCell ref="A1:B1"/>
    <mergeCell ref="A25:B25"/>
    <mergeCell ref="A41:B41"/>
    <mergeCell ref="A46:B46"/>
    <mergeCell ref="A18:B18"/>
    <mergeCell ref="A27:B27"/>
    <mergeCell ref="A12:B12"/>
    <mergeCell ref="A26:B26"/>
    <mergeCell ref="A3:B7"/>
    <mergeCell ref="A33:B33"/>
    <mergeCell ref="A47:B47"/>
    <mergeCell ref="A42:B42"/>
    <mergeCell ref="A32:B32"/>
    <mergeCell ref="A14:B14"/>
    <mergeCell ref="A23:B23"/>
    <mergeCell ref="A17:B17"/>
    <mergeCell ref="A22:B22"/>
    <mergeCell ref="A35:B35"/>
    <mergeCell ref="A20:B20"/>
    <mergeCell ref="A38:B38"/>
    <mergeCell ref="A29:B29"/>
    <mergeCell ref="A43:B43"/>
    <mergeCell ref="A19:B19"/>
    <mergeCell ref="A10:B10"/>
    <mergeCell ref="A28:B28"/>
    <mergeCell ref="A13:B13"/>
    <mergeCell ref="A40:B40"/>
    <mergeCell ref="A9:B9"/>
    <mergeCell ref="A31:B31"/>
    <mergeCell ref="A39:B39"/>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2026-09-04T17:31:30Z</dcterms:created>
  <dcterms:modified xsi:type="dcterms:W3CDTF">2026-09-04T17:31:31Z</dcterms:modified>
</cp:coreProperties>
</file>