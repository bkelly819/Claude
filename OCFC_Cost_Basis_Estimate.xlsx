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is Estimate" sheetId="1" state="visible" r:id="rId3"/>
    <sheet name="Notes &amp; Source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Client-provided average annual TRCB price</t>
        </r>
      </text>
    </comment>
    <comment ref="B29" authorId="0">
      <text>
        <r>
          <rPr>
            <sz val="10"/>
            <rFont val="Arial"/>
            <family val="2"/>
          </rPr>
          <t xml:space="preserve">Client-provided average annual TRCB price</t>
        </r>
      </text>
    </comment>
    <comment ref="B30" authorId="0">
      <text>
        <r>
          <rPr>
            <sz val="10"/>
            <rFont val="Arial"/>
            <family val="2"/>
          </rPr>
          <t xml:space="preserve">Client-provided average annual TRCB price</t>
        </r>
      </text>
    </comment>
    <comment ref="B31" authorId="0">
      <text>
        <r>
          <rPr>
            <sz val="10"/>
            <rFont val="Arial"/>
            <family val="2"/>
          </rPr>
          <t xml:space="preserve">Client-provided average annual TRCB price</t>
        </r>
      </text>
    </comment>
    <comment ref="B32" authorId="0">
      <text>
        <r>
          <rPr>
            <sz val="10"/>
            <rFont val="Arial"/>
            <family val="2"/>
          </rPr>
          <t xml:space="preserve">Client-provided average annual TRCB price</t>
        </r>
      </text>
    </comment>
    <comment ref="B33" authorId="0">
      <text>
        <r>
          <rPr>
            <sz val="10"/>
            <rFont val="Arial"/>
            <family val="2"/>
          </rPr>
          <t xml:space="preserve">Client-provided average annual TRCB price</t>
        </r>
      </text>
    </comment>
  </commentList>
</comments>
</file>

<file path=xl/sharedStrings.xml><?xml version="1.0" encoding="utf-8"?>
<sst xmlns="http://schemas.openxmlformats.org/spreadsheetml/2006/main" count="146" uniqueCount="141">
  <si>
    <t xml:space="preserve">OceanFirst (OCFC) Cost Basis Estimate: Shares Received in the Two River Bancorp (TRCB) Merger</t>
  </si>
  <si>
    <t xml:space="preserve">ESTIMATE ONLY, not a verified tax basis. Reconstructed from the client's current share count and average annual prices. Blue = input; black = formula; yellow = assumption to confirm. See 'Notes &amp; Sources'.</t>
  </si>
  <si>
    <t xml:space="preserve">1. Inputs</t>
  </si>
  <si>
    <t xml:space="preserve">Item</t>
  </si>
  <si>
    <t xml:space="preserve">Value</t>
  </si>
  <si>
    <t xml:space="preserve">Status</t>
  </si>
  <si>
    <t xml:space="preserve">Source / basis</t>
  </si>
  <si>
    <t xml:space="preserve">Current OCFC shares held</t>
  </si>
  <si>
    <t xml:space="preserve">Client data</t>
  </si>
  <si>
    <t xml:space="preserve">Client account; assumes all shares came from the merger (no DRIP, buys or sales since)</t>
  </si>
  <si>
    <t xml:space="preserve">Exchange ratio (OCFC shares per TRCB share)</t>
  </si>
  <si>
    <t xml:space="preserve">Confirmed</t>
  </si>
  <si>
    <t xml:space="preserve">Merger Agreement 8/9/2019; OCFC closing release 1/2/2020</t>
  </si>
  <si>
    <t xml:space="preserve">Cash consideration per TRCB share</t>
  </si>
  <si>
    <t xml:space="preserve">OCFC price at effective time (for FMV / realized gain)</t>
  </si>
  <si>
    <t xml:space="preserve">Assumption</t>
  </si>
  <si>
    <t xml:space="preserve">OCFC close on 12/31/2019 as cited in the closing release (merger effective 1/1/2020, a market holiday)</t>
  </si>
  <si>
    <t xml:space="preserve">OCFC VWAP used for cash in lieu of fractional share</t>
  </si>
  <si>
    <t xml:space="preserve">Actual figure was the 5-day VWAP before closing (not published in the sources reviewed); replace with the broker statement amount</t>
  </si>
  <si>
    <t xml:space="preserve">2. Merger Conversion: Reverse-Engineer the Pre-Merger Two River Holding</t>
  </si>
  <si>
    <t xml:space="preserve">Unrounded TRCB shares (current OCFC shares / exchange ratio)</t>
  </si>
  <si>
    <t xml:space="preserve">Not a whole number, so the client also received cash for a fractional OCFC share</t>
  </si>
  <si>
    <t xml:space="preserve">Implied whole TRCB shares held at merger (used in this estimate)</t>
  </si>
  <si>
    <t xml:space="preserve">Smallest whole TRCB share count that yields exactly the current OCFC whole-share count</t>
  </si>
  <si>
    <t xml:space="preserve">Largest TRCB share count also consistent with the current OCFC holding</t>
  </si>
  <si>
    <t xml:space="preserve">Any count from B14 to B15 rounds down to the same OCFC holding; confirm on the 2020 broker statement</t>
  </si>
  <si>
    <t xml:space="preserve">Check: whole OCFC shares issued on the implied TRCB holding</t>
  </si>
  <si>
    <t xml:space="preserve">Reconciles to current holding?</t>
  </si>
  <si>
    <t xml:space="preserve">OCFC shares earned, including the fraction (TRCB shares x ratio)</t>
  </si>
  <si>
    <t xml:space="preserve">Fractional OCFC share paid in cash</t>
  </si>
  <si>
    <t xml:space="preserve">Cash consideration received ($5.375 x TRCB shares)</t>
  </si>
  <si>
    <t xml:space="preserve">Taxable boot under IRC §356(a)</t>
  </si>
  <si>
    <t xml:space="preserve">Cash in lieu of fractional share (estimate)</t>
  </si>
  <si>
    <t xml:space="preserve">Treated as a separate deemed redemption of the fraction</t>
  </si>
  <si>
    <t xml:space="preserve">Total cash received at merger (estimate)</t>
  </si>
  <si>
    <t xml:space="preserve">3. Reconstructed Annual Purchases of Two River (equal dollar amount each year)</t>
  </si>
  <si>
    <t xml:space="preserve">Equal amount invested per year (solved so lots reconcile to the implied TRCB holding)</t>
  </si>
  <si>
    <t xml:space="preserve">Formula: implied TRCB shares / Σ(stock-dividend factor / avg price)</t>
  </si>
  <si>
    <t xml:space="preserve">Year</t>
  </si>
  <si>
    <t xml:space="preserve">Avg TRCB price (as traded)</t>
  </si>
  <si>
    <t xml:space="preserve">2017 5% stock dividend factor</t>
  </si>
  <si>
    <t xml:space="preserve">Amount invested</t>
  </si>
  <si>
    <t xml:space="preserve">TRCB shares bought</t>
  </si>
  <si>
    <t xml:space="preserve">TRCB shares held at merger</t>
  </si>
  <si>
    <t xml:space="preserve">Adjusted cost per TRCB share</t>
  </si>
  <si>
    <t xml:space="preserve">2014</t>
  </si>
  <si>
    <t xml:space="preserve">2015</t>
  </si>
  <si>
    <t xml:space="preserve">2016</t>
  </si>
  <si>
    <t xml:space="preserve">2017</t>
  </si>
  <si>
    <t xml:space="preserve">2018</t>
  </si>
  <si>
    <t xml:space="preserve">2019</t>
  </si>
  <si>
    <t xml:space="preserve">Total</t>
  </si>
  <si>
    <t xml:space="preserve">Check: lots reconcile to implied TRCB holding</t>
  </si>
  <si>
    <t xml:space="preserve">Factor 1.05 = lots bought before the 2/9/2017 record date of Two River's 5% stock dividend (paid 2/28/2017); 2017 lot assumed bought after the record date. Set all factors to 1.00 if the prices above are already dividend-adjusted. Share counts are left unrounded (could reflect fractional/DRIP lots); rounding does not change the dollars invested.</t>
  </si>
  <si>
    <t xml:space="preserve">4. Merger Tax Treatment by Lot (IRC §§354, 356, 358; per-block method under Treas. Reg. §1.356-1(b))</t>
  </si>
  <si>
    <t xml:space="preserve">Lot (year)</t>
  </si>
  <si>
    <t xml:space="preserve">TRCB shares</t>
  </si>
  <si>
    <t xml:space="preserve">Original cost basis</t>
  </si>
  <si>
    <t xml:space="preserve">OCFC shares earned (incl. fraction)</t>
  </si>
  <si>
    <t xml:space="preserve">Cash boot received</t>
  </si>
  <si>
    <t xml:space="preserve">FMV of OCFC stock received</t>
  </si>
  <si>
    <t xml:space="preserve">Realized gain / (loss)</t>
  </si>
  <si>
    <t xml:space="preserve">Recognized gain (lesser of gain or cash; no loss)</t>
  </si>
  <si>
    <t xml:space="preserve">OCFC basis incl. fraction (cost − cash + gain)</t>
  </si>
  <si>
    <t xml:space="preserve">Fractional share allocated</t>
  </si>
  <si>
    <t xml:space="preserve">Basis allocated to fraction</t>
  </si>
  <si>
    <t xml:space="preserve">Whole OCFC shares (current)</t>
  </si>
  <si>
    <t xml:space="preserve">Adjusted OCFC basis (current)</t>
  </si>
  <si>
    <t xml:space="preserve">Check: whole OCFC shares reconcile to current holding</t>
  </si>
  <si>
    <t xml:space="preserve">Gain is computed separately for each purchase lot; a loss on one lot cannot offset gain on another, and no loss is recognized. Each lot keeps its original acquisition date (holding period carries over, IRC §1223(1)). Lot share counts in column L are fractional because the single fractional OCFC share is allocated pro rata across lots.</t>
  </si>
  <si>
    <t xml:space="preserve">5. Summary: Estimated Adjusted OCFC Cost Basis</t>
  </si>
  <si>
    <t xml:space="preserve">Original aggregate Two River cost basis</t>
  </si>
  <si>
    <t xml:space="preserve">Less: cash consideration received ($5.375/share)</t>
  </si>
  <si>
    <t xml:space="preserve">Plus: gain recognized on the merger (boot gain)</t>
  </si>
  <si>
    <t xml:space="preserve">Basis in OCFC stock received, including fractional share (IRC §358)</t>
  </si>
  <si>
    <t xml:space="preserve">Less: basis allocated to fractional share cashed out</t>
  </si>
  <si>
    <t xml:space="preserve">Estimated adjusted aggregate basis of current OCFC shares</t>
  </si>
  <si>
    <t xml:space="preserve">Current OCFC shares</t>
  </si>
  <si>
    <t xml:space="preserve">Estimated average cost basis per current OCFC share</t>
  </si>
  <si>
    <t xml:space="preserve">Gain / (loss) on fractional share (cash − allocated basis)</t>
  </si>
  <si>
    <t xml:space="preserve">Total gain recognized in 2020 from the merger (estimate)</t>
  </si>
  <si>
    <t xml:space="preserve">Realized gain not recognized (deferred into OCFC basis)</t>
  </si>
  <si>
    <t xml:space="preserve">Because every lot's realized gain exceeds its cash boot at the assumed OCFC price, recognized gain equals the cash received, so the basis carried into OCFC equals the original cost less only the basis of the cashed-out fraction. A lower OCFC price (B9) would cap recognized gain on the higher-cost lots and lower the basis; this is calculated automatically.</t>
  </si>
  <si>
    <t xml:space="preserve">Methodology, Assumptions, Limitations and Sources</t>
  </si>
  <si>
    <t xml:space="preserve">CONFIRMED MERGER TERMS</t>
  </si>
  <si>
    <t xml:space="preserve">Transaction</t>
  </si>
  <si>
    <t xml:space="preserve">OceanFirst Financial Corp. acquired Two River Bancorp under an Agreement and Plan of Merger dated 8/9/2019; effective 1/1/2020 (announced 1/2/2020).</t>
  </si>
  <si>
    <t xml:space="preserve">Consideration</t>
  </si>
  <si>
    <t xml:space="preserve">Each TRCB share converted into 0.6663 OCFC shares plus $5.375 cash (without interest). No fractional OCFC shares were issued; cash was paid in lieu, based on OCFC's 5-day VWAP before closing, rounded to the nearest cent.</t>
  </si>
  <si>
    <t xml:space="preserve">Intended tax treatment</t>
  </si>
  <si>
    <t xml:space="preserve">The mergers were structured as a reorganization under IRC §368(a). Per the registration statement, TRCB holders generally recognize gain (but not loss) not exceeding the cash received.</t>
  </si>
  <si>
    <t xml:space="preserve">APPLICABLE TAX TREATMENT</t>
  </si>
  <si>
    <t xml:space="preserve">Gain recognition, §356(a)</t>
  </si>
  <si>
    <t xml:space="preserve">In a reorganization with boot, realized gain (cash + FMV of OCFC stock − TRCB basis) is recognized only up to the cash received. No loss is recognized (§356(c)).</t>
  </si>
  <si>
    <t xml:space="preserve">Per-lot computation</t>
  </si>
  <si>
    <t xml:space="preserve">Gain/loss is determined separately for each block of shares bought at a different time/price (Treas. Reg. §1.356-1(b); Rev. Rul. 68-23). Cash and stock are allocated pro rata to each share.</t>
  </si>
  <si>
    <t xml:space="preserve">Basis of OCFC stock, §358(a)</t>
  </si>
  <si>
    <t xml:space="preserve">Basis = TRCB basis − cash received + gain recognized (excluding the fractional-share cash, which is handled separately).</t>
  </si>
  <si>
    <t xml:space="preserve">Fractional share</t>
  </si>
  <si>
    <t xml:space="preserve">Cash in lieu of a fractional share is treated as if the fraction were issued and then redeemed (Rev. Rul. 66-365; Rev. Proc. 77-41): gain/loss = cash − basis allocated to the fraction. That basis is removed from the remaining shares.</t>
  </si>
  <si>
    <t xml:space="preserve">Character of boot gain</t>
  </si>
  <si>
    <t xml:space="preserve">Assumed capital gain. Under §356(a)(2) and Commissioner v. Clark, 489 U.S. 726 (1989), boot is tested as a hypothetical redemption of acquirer stock. For a small minority holder this is normally not dividend-equivalent. Long-term treatment follows each lot's original holding period (§1223(1)).</t>
  </si>
  <si>
    <t xml:space="preserve">Stock dividend</t>
  </si>
  <si>
    <t xml:space="preserve">Two River paid a 5% stock dividend on 2/28/2017 (record date 2/9/2017). It was non-taxable under §305(a); basis is spread over the larger share count (§307). It changes the share count but not the dollars invested.</t>
  </si>
  <si>
    <t xml:space="preserve">ASSUMPTIONS / ESTIMATES</t>
  </si>
  <si>
    <t xml:space="preserve">A1</t>
  </si>
  <si>
    <t xml:space="preserve">All 1,733 OCFC shares came from the TRCB merger. No reinvested dividends, additional purchases, sales, gifts or transfers since 1/1/2020. OCFC has had no stock split since the merger.</t>
  </si>
  <si>
    <t xml:space="preserve">A2</t>
  </si>
  <si>
    <t xml:space="preserve">The same dollar amount was invested once per year, 2014–2019, at the client-supplied average annual price. Commissions and fees are excluded; including them would raise the basis.</t>
  </si>
  <si>
    <t xml:space="preserve">A3</t>
  </si>
  <si>
    <t xml:space="preserve">The pre-merger TRCB holding is taken as 2,601 shares: the smallest whole number that produces exactly 1,733 OCFC shares. 2,602 shares would also produce 1,733. Using 2,602 leaves the basis of the 1,733 current shares essentially unchanged; the extra cost goes to a larger cashed-out fraction.</t>
  </si>
  <si>
    <t xml:space="preserve">A4</t>
  </si>
  <si>
    <t xml:space="preserve">The client-supplied prices are taken to be as-traded, so 2014–2016 lots received the 5% stock dividend (factor 1.05). The 2017 lot is assumed bought after the record date. Set the factors to 1.00 if the prices are already adjusted. Sensitivity: with factors of 1.00, adjusted basis is about $30,252 ($17.46/share), compared with $29,335 ($16.93/share) in the base case.</t>
  </si>
  <si>
    <t xml:space="preserve">A5</t>
  </si>
  <si>
    <t xml:space="preserve">The OCFC price at the effective time ($25.54, the 12/31/2019 close cited in OCFC's closing release) is used for FMV. The fractional-share VWAP is unknown and is assumed equal to that price. Both affect only the realized-gain test and the small fractional-share cash amount.</t>
  </si>
  <si>
    <t xml:space="preserve">A6</t>
  </si>
  <si>
    <t xml:space="preserve">No cash dividends were reinvested in TRCB. Cash dividends do not affect basis.</t>
  </si>
  <si>
    <t xml:space="preserve">LIMITATIONS</t>
  </si>
  <si>
    <t xml:space="preserve">L1</t>
  </si>
  <si>
    <t xml:space="preserve">This is a reconstruction, not a verified tax basis. Actual lot dates, prices, share counts and fees may differ. Average annual prices only approximate actual execution prices.</t>
  </si>
  <si>
    <t xml:space="preserve">L2</t>
  </si>
  <si>
    <t xml:space="preserve">Before relying on this, compare it with the 2020 Form 1099-B or broker cost-basis records, the merger exchange statement (cash in lieu amount), and OCFC's IRS Form 8937 for this transaction, if available.</t>
  </si>
  <si>
    <t xml:space="preserve">L3</t>
  </si>
  <si>
    <t xml:space="preserve">The gain recognized in 2020 is included in basis on the premise that it was (or should have been) reported. The client's tax preparer should confirm that 2020 reporting matches.</t>
  </si>
  <si>
    <t xml:space="preserve">SOURCES</t>
  </si>
  <si>
    <t xml:space="preserve">S1</t>
  </si>
  <si>
    <t xml:space="preserve">OceanFirst newsroom, 'Two River and Country Bank' (user-specified source): https://oceanfirst.com/newsroom/two-river-and-country-bank</t>
  </si>
  <si>
    <t xml:space="preserve">S2</t>
  </si>
  <si>
    <t xml:space="preserve">OceanFirst closing press release, 1/2/2020 (GlobeNewswire): https://www.globenewswire.com/news-release/2020/01/02/1965671/0/en/OceanFirst-Financial-Corp-Completes-Acquisitions-of-Two-River-Bancorp-and-Country-Bank-Holding-Company-Inc.html</t>
  </si>
  <si>
    <t xml:space="preserve">S3</t>
  </si>
  <si>
    <t xml:space="preserve">Two River Bancorp Form 8-K (completion of merger), Jan 2020: https://www.sec.gov/Archives/edgar/data/1343034/000119312520000232/d862409d8k.htm</t>
  </si>
  <si>
    <t xml:space="preserve">S4</t>
  </si>
  <si>
    <t xml:space="preserve">Two River Bancorp Form 8-K / Merger Agreement, Aug 2019: https://www.sec.gov/Archives/edgar/data/1343034/000143774919016580/trcb20190810b_8k.htm</t>
  </si>
  <si>
    <t xml:space="preserve">S5</t>
  </si>
  <si>
    <t xml:space="preserve">OceanFirst Form S-4/A (proxy statement/prospectus: consideration, fractional shares, tax consequences): https://www.sec.gov/Archives/edgar/data/1004702/000119312519270117/d740793ds4a.htm</t>
  </si>
  <si>
    <t xml:space="preserve">S6</t>
  </si>
  <si>
    <t xml:space="preserve">Two River Bancorp Definitive Proxy (DEFM14A): https://www.sec.gov/Archives/edgar/data/1343034/000119312519281071/d823156ddefm14a.htm</t>
  </si>
  <si>
    <t xml:space="preserve">S7</t>
  </si>
  <si>
    <t xml:space="preserve">Two River 5% stock dividend announcement (Form 8-K, Jan 2017): https://www.sec.gov/Archives/edgar/data/0001343034/000117184317000284/exh_991.htm</t>
  </si>
  <si>
    <t xml:space="preserve">S8</t>
  </si>
  <si>
    <t xml:space="preserve">26 U.S.C. §§354, 356, 358, 368, 305, 307, 1223 (https://www.law.cornell.edu/uscode/text/26); Treas. Reg. §1.356-1; Rev. Rul. 68-23; Rev. Rul. 66-365; Rev. Proc. 77-41; Commissioner v. Clark, 489 U.S. 726 (1989).</t>
  </si>
</sst>
</file>

<file path=xl/styles.xml><?xml version="1.0" encoding="utf-8"?>
<styleSheet xmlns="http://schemas.openxmlformats.org/spreadsheetml/2006/main">
  <numFmts count="9">
    <numFmt numFmtId="164" formatCode="General"/>
    <numFmt numFmtId="165" formatCode="#,##0;\(#,##0\);\-"/>
    <numFmt numFmtId="166" formatCode="0.0000"/>
    <numFmt numFmtId="167" formatCode="\$#,##0.000"/>
    <numFmt numFmtId="168" formatCode="\$#,##0.00"/>
    <numFmt numFmtId="169" formatCode="#,##0.0000;\(#,##0.0000\);\-"/>
    <numFmt numFmtId="170" formatCode="\$#,##0.00;&quot;($&quot;#,##0.00\);\-"/>
    <numFmt numFmtId="171" formatCode="0.00"/>
    <numFmt numFmtId="172" formatCode="\$#,##0.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E2EFDA"/>
        <bgColor rgb="FFD9E1F2"/>
      </patternFill>
    </fill>
  </fills>
  <borders count="3">
    <border diagonalUp="false" diagonalDown="false">
      <left/>
      <right/>
      <top/>
      <bottom/>
      <diagonal/>
    </border>
    <border diagonalUp="false" diagonalDown="false">
      <left/>
      <right/>
      <top style="thin">
        <color rgb="FF808080"/>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7" fillId="5" borderId="2" xfId="0" applyFont="true" applyBorder="true" applyAlignment="false" applyProtection="false">
      <alignment horizontal="general" vertical="bottom" textRotation="0" wrapText="false" indent="0" shrinkToFit="false"/>
      <protection locked="true" hidden="false"/>
    </xf>
    <xf numFmtId="172" fontId="7" fillId="5" borderId="2"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6"/>
    <col collapsed="false" customWidth="true" hidden="false" outlineLevel="0" max="4" min="4" style="0" width="18"/>
    <col collapsed="false" customWidth="true" hidden="false" outlineLevel="0" max="5" min="5" style="0" width="16"/>
    <col collapsed="false" customWidth="true" hidden="false" outlineLevel="0" max="7" min="6" style="0" width="17"/>
    <col collapsed="false" customWidth="true" hidden="false" outlineLevel="0" max="8" min="8" style="0" width="18"/>
    <col collapsed="false" customWidth="true" hidden="false" outlineLevel="0" max="9" min="9" style="0" width="19"/>
    <col collapsed="false" customWidth="true" hidden="false" outlineLevel="0" max="10" min="10" style="0" width="14"/>
    <col collapsed="false" customWidth="true" hidden="false" outlineLevel="0" max="12" min="11" style="0" width="15"/>
    <col collapsed="false" customWidth="true" hidden="false" outlineLevel="0" max="13" min="13" style="0" width="17"/>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row>
    <row r="4" customFormat="false" ht="15" hidden="false" customHeight="false" outlineLevel="0" collapsed="false">
      <c r="A4" s="3" t="s">
        <v>2</v>
      </c>
      <c r="B4" s="3"/>
      <c r="C4" s="3"/>
      <c r="D4" s="3"/>
      <c r="E4" s="3"/>
      <c r="F4" s="3"/>
      <c r="G4" s="3"/>
      <c r="H4" s="3"/>
      <c r="I4" s="3"/>
      <c r="J4" s="3"/>
      <c r="K4" s="3"/>
      <c r="L4" s="3"/>
      <c r="M4" s="3"/>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1733</v>
      </c>
      <c r="C6" s="5" t="s">
        <v>8</v>
      </c>
      <c r="D6" s="7" t="s">
        <v>9</v>
      </c>
    </row>
    <row r="7" customFormat="false" ht="15" hidden="false" customHeight="false" outlineLevel="0" collapsed="false">
      <c r="A7" s="5" t="s">
        <v>10</v>
      </c>
      <c r="B7" s="8" t="n">
        <v>0.6663</v>
      </c>
      <c r="C7" s="9" t="s">
        <v>11</v>
      </c>
      <c r="D7" s="7" t="s">
        <v>12</v>
      </c>
    </row>
    <row r="8" customFormat="false" ht="15" hidden="false" customHeight="false" outlineLevel="0" collapsed="false">
      <c r="A8" s="5" t="s">
        <v>13</v>
      </c>
      <c r="B8" s="10" t="n">
        <v>5.375</v>
      </c>
      <c r="C8" s="9" t="s">
        <v>11</v>
      </c>
      <c r="D8" s="7" t="s">
        <v>12</v>
      </c>
    </row>
    <row r="9" customFormat="false" ht="15" hidden="false" customHeight="false" outlineLevel="0" collapsed="false">
      <c r="A9" s="5" t="s">
        <v>14</v>
      </c>
      <c r="B9" s="11" t="n">
        <v>25.54</v>
      </c>
      <c r="C9" s="5" t="s">
        <v>15</v>
      </c>
      <c r="D9" s="7" t="s">
        <v>16</v>
      </c>
    </row>
    <row r="10" customFormat="false" ht="15" hidden="false" customHeight="false" outlineLevel="0" collapsed="false">
      <c r="A10" s="5" t="s">
        <v>17</v>
      </c>
      <c r="B10" s="11" t="n">
        <v>25.54</v>
      </c>
      <c r="C10" s="5" t="s">
        <v>15</v>
      </c>
      <c r="D10" s="7" t="s">
        <v>18</v>
      </c>
    </row>
    <row r="11" customFormat="false" ht="15" hidden="false" customHeight="false" outlineLevel="0" collapsed="false">
      <c r="D11" s="12"/>
    </row>
    <row r="12" customFormat="false" ht="15" hidden="false" customHeight="false" outlineLevel="0" collapsed="false">
      <c r="A12" s="3" t="s">
        <v>19</v>
      </c>
      <c r="B12" s="3"/>
      <c r="C12" s="3"/>
      <c r="D12" s="13"/>
      <c r="E12" s="3"/>
      <c r="F12" s="3"/>
      <c r="G12" s="3"/>
      <c r="H12" s="3"/>
      <c r="I12" s="3"/>
      <c r="J12" s="3"/>
      <c r="K12" s="3"/>
      <c r="L12" s="3"/>
      <c r="M12" s="3"/>
    </row>
    <row r="13" customFormat="false" ht="15" hidden="false" customHeight="false" outlineLevel="0" collapsed="false">
      <c r="A13" s="5" t="s">
        <v>20</v>
      </c>
      <c r="B13" s="14" t="n">
        <f aca="false">B6/B7</f>
        <v>2600.93051178148</v>
      </c>
      <c r="D13" s="7" t="s">
        <v>21</v>
      </c>
    </row>
    <row r="14" customFormat="false" ht="15" hidden="false" customHeight="false" outlineLevel="0" collapsed="false">
      <c r="A14" s="5" t="s">
        <v>22</v>
      </c>
      <c r="B14" s="15" t="n">
        <f aca="false">ROUNDUP(B13,0)</f>
        <v>2601</v>
      </c>
      <c r="D14" s="7" t="s">
        <v>23</v>
      </c>
    </row>
    <row r="15" customFormat="false" ht="15" hidden="false" customHeight="false" outlineLevel="0" collapsed="false">
      <c r="A15" s="5" t="s">
        <v>24</v>
      </c>
      <c r="B15" s="15" t="n">
        <f aca="false">ROUNDUP((B6+1)/B7,0)-1</f>
        <v>2602</v>
      </c>
      <c r="D15" s="7" t="s">
        <v>25</v>
      </c>
    </row>
    <row r="16" customFormat="false" ht="15" hidden="false" customHeight="false" outlineLevel="0" collapsed="false">
      <c r="A16" s="5" t="s">
        <v>26</v>
      </c>
      <c r="B16" s="15" t="n">
        <f aca="false">INT(B14*B7)</f>
        <v>1733</v>
      </c>
      <c r="D16" s="12"/>
    </row>
    <row r="17" customFormat="false" ht="15" hidden="false" customHeight="false" outlineLevel="0" collapsed="false">
      <c r="A17" s="5" t="s">
        <v>27</v>
      </c>
      <c r="B17" s="9" t="str">
        <f aca="false">IF(B16=B6,"OK","CHECK")</f>
        <v>OK</v>
      </c>
      <c r="D17" s="12"/>
    </row>
    <row r="18" customFormat="false" ht="15" hidden="false" customHeight="false" outlineLevel="0" collapsed="false">
      <c r="A18" s="5" t="s">
        <v>28</v>
      </c>
      <c r="B18" s="14" t="n">
        <f aca="false">B14*B7</f>
        <v>1733.0463</v>
      </c>
      <c r="D18" s="12"/>
    </row>
    <row r="19" customFormat="false" ht="15" hidden="false" customHeight="false" outlineLevel="0" collapsed="false">
      <c r="A19" s="5" t="s">
        <v>29</v>
      </c>
      <c r="B19" s="14" t="n">
        <f aca="false">B18-B6</f>
        <v>0.0462999999999738</v>
      </c>
      <c r="D19" s="12"/>
    </row>
    <row r="20" customFormat="false" ht="15" hidden="false" customHeight="false" outlineLevel="0" collapsed="false">
      <c r="A20" s="5" t="s">
        <v>30</v>
      </c>
      <c r="B20" s="16" t="n">
        <f aca="false">B14*B8</f>
        <v>13980.375</v>
      </c>
      <c r="D20" s="7" t="s">
        <v>31</v>
      </c>
    </row>
    <row r="21" customFormat="false" ht="15" hidden="false" customHeight="false" outlineLevel="0" collapsed="false">
      <c r="A21" s="5" t="s">
        <v>32</v>
      </c>
      <c r="B21" s="16" t="n">
        <f aca="false">ROUND(B19*B10,2)</f>
        <v>1.18</v>
      </c>
      <c r="D21" s="7" t="s">
        <v>33</v>
      </c>
    </row>
    <row r="22" customFormat="false" ht="15" hidden="false" customHeight="false" outlineLevel="0" collapsed="false">
      <c r="A22" s="5" t="s">
        <v>34</v>
      </c>
      <c r="B22" s="16" t="n">
        <f aca="false">B20+B21</f>
        <v>13981.555</v>
      </c>
      <c r="D22" s="12"/>
    </row>
    <row r="24" customFormat="false" ht="15" hidden="false" customHeight="false" outlineLevel="0" collapsed="false">
      <c r="A24" s="3" t="s">
        <v>35</v>
      </c>
      <c r="B24" s="3"/>
      <c r="C24" s="3"/>
      <c r="D24" s="3"/>
      <c r="E24" s="3"/>
      <c r="F24" s="3"/>
      <c r="G24" s="3"/>
      <c r="H24" s="3"/>
      <c r="I24" s="3"/>
      <c r="J24" s="3"/>
      <c r="K24" s="3"/>
      <c r="L24" s="3"/>
      <c r="M24" s="3"/>
    </row>
    <row r="25" customFormat="false" ht="15" hidden="false" customHeight="false" outlineLevel="0" collapsed="false">
      <c r="A25" s="5" t="s">
        <v>36</v>
      </c>
      <c r="B25" s="17" t="n">
        <f aca="false">B14/SUMPRODUCT(C28:C33/B28:B33)</f>
        <v>4889.29673143395</v>
      </c>
      <c r="D25" s="18" t="s">
        <v>37</v>
      </c>
    </row>
    <row r="27" customFormat="false" ht="42" hidden="false" customHeight="true" outlineLevel="0" collapsed="false">
      <c r="A27" s="19" t="s">
        <v>38</v>
      </c>
      <c r="B27" s="19" t="s">
        <v>39</v>
      </c>
      <c r="C27" s="19" t="s">
        <v>40</v>
      </c>
      <c r="D27" s="19" t="s">
        <v>41</v>
      </c>
      <c r="E27" s="19" t="s">
        <v>42</v>
      </c>
      <c r="F27" s="19" t="s">
        <v>43</v>
      </c>
      <c r="G27" s="19" t="s">
        <v>44</v>
      </c>
    </row>
    <row r="28" customFormat="false" ht="15" hidden="false" customHeight="false" outlineLevel="0" collapsed="false">
      <c r="A28" s="5" t="s">
        <v>45</v>
      </c>
      <c r="B28" s="20" t="n">
        <v>8.18</v>
      </c>
      <c r="C28" s="21" t="n">
        <v>1.05</v>
      </c>
      <c r="D28" s="16" t="n">
        <f aca="false">$B$25</f>
        <v>4889.29673143395</v>
      </c>
      <c r="E28" s="14" t="n">
        <f aca="false">D28/B28</f>
        <v>597.713536850116</v>
      </c>
      <c r="F28" s="14" t="n">
        <f aca="false">E28*C28</f>
        <v>627.599213692622</v>
      </c>
      <c r="G28" s="22" t="n">
        <f aca="false">D28/F28</f>
        <v>7.79047619047619</v>
      </c>
    </row>
    <row r="29" customFormat="false" ht="15" hidden="false" customHeight="false" outlineLevel="0" collapsed="false">
      <c r="A29" s="5" t="s">
        <v>46</v>
      </c>
      <c r="B29" s="20" t="n">
        <v>9.51</v>
      </c>
      <c r="C29" s="21" t="n">
        <v>1.05</v>
      </c>
      <c r="D29" s="16" t="n">
        <f aca="false">$B$25</f>
        <v>4889.29673143395</v>
      </c>
      <c r="E29" s="14" t="n">
        <f aca="false">D29/B29</f>
        <v>514.121633168659</v>
      </c>
      <c r="F29" s="14" t="n">
        <f aca="false">E29*C29</f>
        <v>539.827714827092</v>
      </c>
      <c r="G29" s="22" t="n">
        <f aca="false">D29/F29</f>
        <v>9.05714285714286</v>
      </c>
    </row>
    <row r="30" customFormat="false" ht="15" hidden="false" customHeight="false" outlineLevel="0" collapsed="false">
      <c r="A30" s="5" t="s">
        <v>47</v>
      </c>
      <c r="B30" s="20" t="n">
        <v>10.52</v>
      </c>
      <c r="C30" s="21" t="n">
        <v>1.05</v>
      </c>
      <c r="D30" s="16" t="n">
        <f aca="false">$B$25</f>
        <v>4889.29673143395</v>
      </c>
      <c r="E30" s="14" t="n">
        <f aca="false">D30/B30</f>
        <v>464.762046714254</v>
      </c>
      <c r="F30" s="14" t="n">
        <f aca="false">E30*C30</f>
        <v>488.000149049966</v>
      </c>
      <c r="G30" s="22" t="n">
        <f aca="false">D30/F30</f>
        <v>10.0190476190476</v>
      </c>
    </row>
    <row r="31" customFormat="false" ht="15" hidden="false" customHeight="false" outlineLevel="0" collapsed="false">
      <c r="A31" s="5" t="s">
        <v>48</v>
      </c>
      <c r="B31" s="20" t="n">
        <v>14.18</v>
      </c>
      <c r="C31" s="21" t="n">
        <v>1</v>
      </c>
      <c r="D31" s="16" t="n">
        <f aca="false">$B$25</f>
        <v>4889.29673143395</v>
      </c>
      <c r="E31" s="14" t="n">
        <f aca="false">D31/B31</f>
        <v>344.802308281661</v>
      </c>
      <c r="F31" s="14" t="n">
        <f aca="false">E31*C31</f>
        <v>344.802308281661</v>
      </c>
      <c r="G31" s="22" t="n">
        <f aca="false">D31/F31</f>
        <v>14.18</v>
      </c>
    </row>
    <row r="32" customFormat="false" ht="15" hidden="false" customHeight="false" outlineLevel="0" collapsed="false">
      <c r="A32" s="5" t="s">
        <v>49</v>
      </c>
      <c r="B32" s="20" t="n">
        <v>16.51</v>
      </c>
      <c r="C32" s="21" t="n">
        <v>1</v>
      </c>
      <c r="D32" s="16" t="n">
        <f aca="false">$B$25</f>
        <v>4889.29673143395</v>
      </c>
      <c r="E32" s="14" t="n">
        <f aca="false">D32/B32</f>
        <v>296.141534308537</v>
      </c>
      <c r="F32" s="14" t="n">
        <f aca="false">E32*C32</f>
        <v>296.141534308537</v>
      </c>
      <c r="G32" s="22" t="n">
        <f aca="false">D32/F32</f>
        <v>16.51</v>
      </c>
    </row>
    <row r="33" customFormat="false" ht="15" hidden="false" customHeight="false" outlineLevel="0" collapsed="false">
      <c r="A33" s="5" t="s">
        <v>50</v>
      </c>
      <c r="B33" s="20" t="n">
        <v>16.05</v>
      </c>
      <c r="C33" s="21" t="n">
        <v>1</v>
      </c>
      <c r="D33" s="16" t="n">
        <f aca="false">$B$25</f>
        <v>4889.29673143395</v>
      </c>
      <c r="E33" s="14" t="n">
        <f aca="false">D33/B33</f>
        <v>304.629079840121</v>
      </c>
      <c r="F33" s="14" t="n">
        <f aca="false">E33*C33</f>
        <v>304.629079840121</v>
      </c>
      <c r="G33" s="22" t="n">
        <f aca="false">D33/F33</f>
        <v>16.05</v>
      </c>
    </row>
    <row r="34" customFormat="false" ht="15" hidden="false" customHeight="false" outlineLevel="0" collapsed="false">
      <c r="A34" s="9" t="s">
        <v>51</v>
      </c>
      <c r="D34" s="23" t="n">
        <f aca="false">SUM(D28:D33)</f>
        <v>29335.7803886037</v>
      </c>
      <c r="E34" s="24" t="n">
        <f aca="false">SUM(E28:E33)</f>
        <v>2522.17013916335</v>
      </c>
      <c r="F34" s="24" t="n">
        <f aca="false">SUM(F28:F33)</f>
        <v>2601</v>
      </c>
      <c r="G34" s="25" t="n">
        <f aca="false">D34/F34</f>
        <v>11.2786545131118</v>
      </c>
    </row>
    <row r="35" customFormat="false" ht="15" hidden="false" customHeight="false" outlineLevel="0" collapsed="false">
      <c r="A35" s="18" t="s">
        <v>52</v>
      </c>
      <c r="F35" s="9" t="str">
        <f aca="false">IF(ABS(F34-B14)&lt;0.000001,"OK","CHECK")</f>
        <v>OK</v>
      </c>
    </row>
    <row r="36" customFormat="false" ht="30" hidden="false" customHeight="true" outlineLevel="0" collapsed="false">
      <c r="A36" s="2" t="s">
        <v>53</v>
      </c>
      <c r="B36" s="2"/>
      <c r="C36" s="2"/>
      <c r="D36" s="2"/>
      <c r="E36" s="2"/>
      <c r="F36" s="2"/>
      <c r="G36" s="2"/>
      <c r="H36" s="2"/>
      <c r="I36" s="2"/>
      <c r="J36" s="2"/>
      <c r="K36" s="2"/>
      <c r="L36" s="2"/>
      <c r="M36" s="2"/>
    </row>
    <row r="38" customFormat="false" ht="15" hidden="false" customHeight="false" outlineLevel="0" collapsed="false">
      <c r="A38" s="3" t="s">
        <v>54</v>
      </c>
      <c r="B38" s="3"/>
      <c r="C38" s="3"/>
      <c r="D38" s="3"/>
      <c r="E38" s="3"/>
      <c r="F38" s="3"/>
      <c r="G38" s="3"/>
      <c r="H38" s="3"/>
      <c r="I38" s="3"/>
      <c r="J38" s="3"/>
      <c r="K38" s="3"/>
      <c r="L38" s="3"/>
      <c r="M38" s="3"/>
    </row>
    <row r="39" customFormat="false" ht="69.75" hidden="false" customHeight="true" outlineLevel="0" collapsed="false">
      <c r="A39" s="19" t="s">
        <v>55</v>
      </c>
      <c r="B39" s="19" t="s">
        <v>56</v>
      </c>
      <c r="C39" s="19" t="s">
        <v>57</v>
      </c>
      <c r="D39" s="19" t="s">
        <v>58</v>
      </c>
      <c r="E39" s="19" t="s">
        <v>59</v>
      </c>
      <c r="F39" s="19" t="s">
        <v>60</v>
      </c>
      <c r="G39" s="19" t="s">
        <v>61</v>
      </c>
      <c r="H39" s="19" t="s">
        <v>62</v>
      </c>
      <c r="I39" s="19" t="s">
        <v>63</v>
      </c>
      <c r="J39" s="19" t="s">
        <v>64</v>
      </c>
      <c r="K39" s="19" t="s">
        <v>65</v>
      </c>
      <c r="L39" s="19" t="s">
        <v>66</v>
      </c>
      <c r="M39" s="19" t="s">
        <v>67</v>
      </c>
    </row>
    <row r="40" customFormat="false" ht="15" hidden="false" customHeight="false" outlineLevel="0" collapsed="false">
      <c r="A40" s="5" t="str">
        <f aca="false">A28</f>
        <v>2014</v>
      </c>
      <c r="B40" s="14" t="n">
        <f aca="false">F28</f>
        <v>627.599213692622</v>
      </c>
      <c r="C40" s="16" t="n">
        <f aca="false">D28</f>
        <v>4889.29673143395</v>
      </c>
      <c r="D40" s="14" t="n">
        <f aca="false">B40*$B$7</f>
        <v>418.169356083394</v>
      </c>
      <c r="E40" s="16" t="n">
        <f aca="false">B40*$B$8</f>
        <v>3373.34577359784</v>
      </c>
      <c r="F40" s="16" t="n">
        <f aca="false">D40*$B$9</f>
        <v>10680.0453543699</v>
      </c>
      <c r="G40" s="16" t="n">
        <f aca="false">E40+F40-C40</f>
        <v>9164.09439653377</v>
      </c>
      <c r="H40" s="16" t="n">
        <f aca="false">MAX(0,MIN(G40,E40))</f>
        <v>3373.34577359784</v>
      </c>
      <c r="I40" s="16" t="n">
        <f aca="false">C40-E40+H40</f>
        <v>4889.29673143395</v>
      </c>
      <c r="J40" s="14" t="n">
        <f aca="false">$B$19*D40/$D$46</f>
        <v>0.0111717968450411</v>
      </c>
      <c r="K40" s="16" t="n">
        <f aca="false">I40*J40/D40</f>
        <v>0.130622268236725</v>
      </c>
      <c r="L40" s="14" t="n">
        <f aca="false">D40-J40</f>
        <v>418.158184286549</v>
      </c>
      <c r="M40" s="16" t="n">
        <f aca="false">I40-K40</f>
        <v>4889.16610916571</v>
      </c>
    </row>
    <row r="41" customFormat="false" ht="15" hidden="false" customHeight="false" outlineLevel="0" collapsed="false">
      <c r="A41" s="5" t="str">
        <f aca="false">A29</f>
        <v>2015</v>
      </c>
      <c r="B41" s="14" t="n">
        <f aca="false">F29</f>
        <v>539.827714827092</v>
      </c>
      <c r="C41" s="16" t="n">
        <f aca="false">D29</f>
        <v>4889.29673143395</v>
      </c>
      <c r="D41" s="14" t="n">
        <f aca="false">B41*$B$7</f>
        <v>359.687206389292</v>
      </c>
      <c r="E41" s="16" t="n">
        <f aca="false">B41*$B$8</f>
        <v>2901.57396719562</v>
      </c>
      <c r="F41" s="16" t="n">
        <f aca="false">D41*$B$9</f>
        <v>9186.41125118251</v>
      </c>
      <c r="G41" s="16" t="n">
        <f aca="false">E41+F41-C41</f>
        <v>7198.68848694418</v>
      </c>
      <c r="H41" s="16" t="n">
        <f aca="false">MAX(0,MIN(G41,E41))</f>
        <v>2901.57396719562</v>
      </c>
      <c r="I41" s="16" t="n">
        <f aca="false">C41-E41+H41</f>
        <v>4889.29673143395</v>
      </c>
      <c r="J41" s="14" t="n">
        <f aca="false">$B$19*D41/$D$46</f>
        <v>0.00960938992559794</v>
      </c>
      <c r="K41" s="16" t="n">
        <f aca="false">I41*J41/D41</f>
        <v>0.130622268236725</v>
      </c>
      <c r="L41" s="14" t="n">
        <f aca="false">D41-J41</f>
        <v>359.677596999366</v>
      </c>
      <c r="M41" s="16" t="n">
        <f aca="false">I41-K41</f>
        <v>4889.16610916571</v>
      </c>
    </row>
    <row r="42" customFormat="false" ht="15" hidden="false" customHeight="false" outlineLevel="0" collapsed="false">
      <c r="A42" s="5" t="str">
        <f aca="false">A30</f>
        <v>2016</v>
      </c>
      <c r="B42" s="14" t="n">
        <f aca="false">F30</f>
        <v>488.000149049966</v>
      </c>
      <c r="C42" s="16" t="n">
        <f aca="false">D30</f>
        <v>4889.29673143395</v>
      </c>
      <c r="D42" s="14" t="n">
        <f aca="false">B42*$B$7</f>
        <v>325.154499311993</v>
      </c>
      <c r="E42" s="16" t="n">
        <f aca="false">B42*$B$8</f>
        <v>2623.00080114357</v>
      </c>
      <c r="F42" s="16" t="n">
        <f aca="false">D42*$B$9</f>
        <v>8304.44591242829</v>
      </c>
      <c r="G42" s="16" t="n">
        <f aca="false">E42+F42-C42</f>
        <v>6038.14998213791</v>
      </c>
      <c r="H42" s="16" t="n">
        <f aca="false">MAX(0,MIN(G42,E42))</f>
        <v>2623.00080114357</v>
      </c>
      <c r="I42" s="16" t="n">
        <f aca="false">C42-E42+H42</f>
        <v>4889.29673143395</v>
      </c>
      <c r="J42" s="14" t="n">
        <f aca="false">$B$19*D42/$D$46</f>
        <v>0.00868681541753198</v>
      </c>
      <c r="K42" s="16" t="n">
        <f aca="false">I42*J42/D42</f>
        <v>0.130622268236725</v>
      </c>
      <c r="L42" s="14" t="n">
        <f aca="false">D42-J42</f>
        <v>325.145812496575</v>
      </c>
      <c r="M42" s="16" t="n">
        <f aca="false">I42-K42</f>
        <v>4889.16610916571</v>
      </c>
    </row>
    <row r="43" customFormat="false" ht="15" hidden="false" customHeight="false" outlineLevel="0" collapsed="false">
      <c r="A43" s="5" t="str">
        <f aca="false">A31</f>
        <v>2017</v>
      </c>
      <c r="B43" s="14" t="n">
        <f aca="false">F31</f>
        <v>344.802308281661</v>
      </c>
      <c r="C43" s="16" t="n">
        <f aca="false">D31</f>
        <v>4889.29673143395</v>
      </c>
      <c r="D43" s="14" t="n">
        <f aca="false">B43*$B$7</f>
        <v>229.741778008071</v>
      </c>
      <c r="E43" s="16" t="n">
        <f aca="false">B43*$B$8</f>
        <v>1853.31240701393</v>
      </c>
      <c r="F43" s="16" t="n">
        <f aca="false">D43*$B$9</f>
        <v>5867.60501032612</v>
      </c>
      <c r="G43" s="16" t="n">
        <f aca="false">E43+F43-C43</f>
        <v>2831.6206859061</v>
      </c>
      <c r="H43" s="16" t="n">
        <f aca="false">MAX(0,MIN(G43,E43))</f>
        <v>1853.31240701393</v>
      </c>
      <c r="I43" s="16" t="n">
        <f aca="false">C43-E43+H43</f>
        <v>4889.29673143395</v>
      </c>
      <c r="J43" s="14" t="n">
        <f aca="false">$B$19*D43/$D$46</f>
        <v>0.00613777273103878</v>
      </c>
      <c r="K43" s="16" t="n">
        <f aca="false">I43*J43/D43</f>
        <v>0.130622268236725</v>
      </c>
      <c r="L43" s="14" t="n">
        <f aca="false">D43-J43</f>
        <v>229.73564023534</v>
      </c>
      <c r="M43" s="16" t="n">
        <f aca="false">I43-K43</f>
        <v>4889.16610916571</v>
      </c>
    </row>
    <row r="44" customFormat="false" ht="15" hidden="false" customHeight="false" outlineLevel="0" collapsed="false">
      <c r="A44" s="5" t="str">
        <f aca="false">A32</f>
        <v>2018</v>
      </c>
      <c r="B44" s="14" t="n">
        <f aca="false">F32</f>
        <v>296.141534308537</v>
      </c>
      <c r="C44" s="16" t="n">
        <f aca="false">D32</f>
        <v>4889.29673143395</v>
      </c>
      <c r="D44" s="14" t="n">
        <f aca="false">B44*$B$7</f>
        <v>197.319104309778</v>
      </c>
      <c r="E44" s="16" t="n">
        <f aca="false">B44*$B$8</f>
        <v>1591.76074690839</v>
      </c>
      <c r="F44" s="16" t="n">
        <f aca="false">D44*$B$9</f>
        <v>5039.52992407174</v>
      </c>
      <c r="G44" s="16" t="n">
        <f aca="false">E44+F44-C44</f>
        <v>1741.99393954618</v>
      </c>
      <c r="H44" s="16" t="n">
        <f aca="false">MAX(0,MIN(G44,E44))</f>
        <v>1591.76074690839</v>
      </c>
      <c r="I44" s="16" t="n">
        <f aca="false">C44-E44+H44</f>
        <v>4889.29673143395</v>
      </c>
      <c r="J44" s="14" t="n">
        <f aca="false">$B$19*D44/$D$46</f>
        <v>0.00527156979564687</v>
      </c>
      <c r="K44" s="16" t="n">
        <f aca="false">I44*J44/D44</f>
        <v>0.130622268236725</v>
      </c>
      <c r="L44" s="14" t="n">
        <f aca="false">D44-J44</f>
        <v>197.313832739983</v>
      </c>
      <c r="M44" s="16" t="n">
        <f aca="false">I44-K44</f>
        <v>4889.16610916571</v>
      </c>
    </row>
    <row r="45" customFormat="false" ht="15" hidden="false" customHeight="false" outlineLevel="0" collapsed="false">
      <c r="A45" s="5" t="str">
        <f aca="false">A33</f>
        <v>2019</v>
      </c>
      <c r="B45" s="14" t="n">
        <f aca="false">F33</f>
        <v>304.629079840121</v>
      </c>
      <c r="C45" s="16" t="n">
        <f aca="false">D33</f>
        <v>4889.29673143395</v>
      </c>
      <c r="D45" s="14" t="n">
        <f aca="false">B45*$B$7</f>
        <v>202.974355897473</v>
      </c>
      <c r="E45" s="16" t="n">
        <f aca="false">B45*$B$8</f>
        <v>1637.38130414065</v>
      </c>
      <c r="F45" s="16" t="n">
        <f aca="false">D45*$B$9</f>
        <v>5183.96504962146</v>
      </c>
      <c r="G45" s="16" t="n">
        <f aca="false">E45+F45-C45</f>
        <v>1932.04962232816</v>
      </c>
      <c r="H45" s="16" t="n">
        <f aca="false">MAX(0,MIN(G45,E45))</f>
        <v>1637.38130414065</v>
      </c>
      <c r="I45" s="16" t="n">
        <f aca="false">C45-E45+H45</f>
        <v>4889.29673143395</v>
      </c>
      <c r="J45" s="14" t="n">
        <f aca="false">$B$19*D45/$D$46</f>
        <v>0.00542265528511713</v>
      </c>
      <c r="K45" s="16" t="n">
        <f aca="false">I45*J45/D45</f>
        <v>0.130622268236725</v>
      </c>
      <c r="L45" s="14" t="n">
        <f aca="false">D45-J45</f>
        <v>202.968933242188</v>
      </c>
      <c r="M45" s="16" t="n">
        <f aca="false">I45-K45</f>
        <v>4889.16610916571</v>
      </c>
    </row>
    <row r="46" customFormat="false" ht="15" hidden="false" customHeight="false" outlineLevel="0" collapsed="false">
      <c r="A46" s="9" t="s">
        <v>51</v>
      </c>
      <c r="B46" s="24" t="n">
        <f aca="false">SUM(B40:B45)</f>
        <v>2601</v>
      </c>
      <c r="C46" s="23" t="n">
        <f aca="false">SUM(C40:C45)</f>
        <v>29335.7803886037</v>
      </c>
      <c r="D46" s="24" t="n">
        <f aca="false">SUM(D40:D45)</f>
        <v>1733.0463</v>
      </c>
      <c r="E46" s="23" t="n">
        <f aca="false">SUM(E40:E45)</f>
        <v>13980.375</v>
      </c>
      <c r="F46" s="23" t="n">
        <f aca="false">SUM(F40:F45)</f>
        <v>44262.002502</v>
      </c>
      <c r="G46" s="23" t="n">
        <f aca="false">SUM(G40:G45)</f>
        <v>28906.5971133963</v>
      </c>
      <c r="H46" s="23" t="n">
        <f aca="false">SUM(H40:H45)</f>
        <v>13980.375</v>
      </c>
      <c r="I46" s="23" t="n">
        <f aca="false">SUM(I40:I45)</f>
        <v>29335.7803886037</v>
      </c>
      <c r="J46" s="24" t="n">
        <f aca="false">SUM(J40:J45)</f>
        <v>0.0462999999999738</v>
      </c>
      <c r="K46" s="23" t="n">
        <f aca="false">SUM(K40:K45)</f>
        <v>0.78373360942035</v>
      </c>
      <c r="L46" s="24" t="n">
        <f aca="false">SUM(L40:L45)</f>
        <v>1733</v>
      </c>
      <c r="M46" s="23" t="n">
        <f aca="false">SUM(M40:M45)</f>
        <v>29334.9966549943</v>
      </c>
    </row>
    <row r="47" customFormat="false" ht="15" hidden="false" customHeight="false" outlineLevel="0" collapsed="false">
      <c r="A47" s="18" t="s">
        <v>68</v>
      </c>
      <c r="L47" s="9" t="str">
        <f aca="false">IF(ABS(L46-B6)&lt;0.000001,"OK","CHECK")</f>
        <v>OK</v>
      </c>
    </row>
    <row r="48" customFormat="false" ht="30" hidden="false" customHeight="true" outlineLevel="0" collapsed="false">
      <c r="A48" s="2" t="s">
        <v>69</v>
      </c>
      <c r="B48" s="2"/>
      <c r="C48" s="2"/>
      <c r="D48" s="2"/>
      <c r="E48" s="2"/>
      <c r="F48" s="2"/>
      <c r="G48" s="2"/>
      <c r="H48" s="2"/>
      <c r="I48" s="2"/>
      <c r="J48" s="2"/>
      <c r="K48" s="2"/>
      <c r="L48" s="2"/>
      <c r="M48" s="2"/>
    </row>
    <row r="50" customFormat="false" ht="15" hidden="false" customHeight="false" outlineLevel="0" collapsed="false">
      <c r="A50" s="3" t="s">
        <v>70</v>
      </c>
      <c r="B50" s="3"/>
      <c r="C50" s="3"/>
      <c r="D50" s="3"/>
      <c r="E50" s="3"/>
      <c r="F50" s="3"/>
      <c r="G50" s="3"/>
      <c r="H50" s="3"/>
      <c r="I50" s="3"/>
      <c r="J50" s="3"/>
      <c r="K50" s="3"/>
      <c r="L50" s="3"/>
      <c r="M50" s="3"/>
    </row>
    <row r="51" customFormat="false" ht="15" hidden="false" customHeight="false" outlineLevel="0" collapsed="false">
      <c r="A51" s="5" t="s">
        <v>71</v>
      </c>
      <c r="B51" s="16" t="n">
        <f aca="false">C46</f>
        <v>29335.7803886037</v>
      </c>
    </row>
    <row r="52" customFormat="false" ht="15" hidden="false" customHeight="false" outlineLevel="0" collapsed="false">
      <c r="A52" s="5" t="s">
        <v>72</v>
      </c>
      <c r="B52" s="16" t="n">
        <f aca="false">-E46</f>
        <v>-13980.375</v>
      </c>
    </row>
    <row r="53" customFormat="false" ht="15" hidden="false" customHeight="false" outlineLevel="0" collapsed="false">
      <c r="A53" s="5" t="s">
        <v>73</v>
      </c>
      <c r="B53" s="16" t="n">
        <f aca="false">H46</f>
        <v>13980.375</v>
      </c>
    </row>
    <row r="54" customFormat="false" ht="15" hidden="false" customHeight="false" outlineLevel="0" collapsed="false">
      <c r="A54" s="5" t="s">
        <v>74</v>
      </c>
      <c r="B54" s="26" t="n">
        <f aca="false">B51+B52+B53</f>
        <v>29335.7803886037</v>
      </c>
    </row>
    <row r="55" customFormat="false" ht="15" hidden="false" customHeight="false" outlineLevel="0" collapsed="false">
      <c r="A55" s="5" t="s">
        <v>75</v>
      </c>
      <c r="B55" s="16" t="n">
        <f aca="false">-K46</f>
        <v>-0.78373360942035</v>
      </c>
    </row>
    <row r="56" customFormat="false" ht="15" hidden="false" customHeight="false" outlineLevel="0" collapsed="false">
      <c r="A56" s="9" t="s">
        <v>76</v>
      </c>
      <c r="B56" s="27" t="n">
        <f aca="false">B54+B55</f>
        <v>29334.9966549943</v>
      </c>
    </row>
    <row r="57" customFormat="false" ht="15" hidden="false" customHeight="false" outlineLevel="0" collapsed="false">
      <c r="A57" s="5" t="s">
        <v>77</v>
      </c>
      <c r="B57" s="15" t="n">
        <f aca="false">B6</f>
        <v>1733</v>
      </c>
    </row>
    <row r="58" customFormat="false" ht="15" hidden="false" customHeight="false" outlineLevel="0" collapsed="false">
      <c r="A58" s="9" t="s">
        <v>78</v>
      </c>
      <c r="B58" s="28" t="n">
        <f aca="false">B56/B57</f>
        <v>16.9272917801467</v>
      </c>
    </row>
    <row r="60" customFormat="false" ht="15" hidden="false" customHeight="false" outlineLevel="0" collapsed="false">
      <c r="A60" s="5" t="s">
        <v>32</v>
      </c>
      <c r="B60" s="16" t="n">
        <f aca="false">B21</f>
        <v>1.18</v>
      </c>
    </row>
    <row r="61" customFormat="false" ht="15" hidden="false" customHeight="false" outlineLevel="0" collapsed="false">
      <c r="A61" s="5" t="s">
        <v>79</v>
      </c>
      <c r="B61" s="16" t="n">
        <f aca="false">B21-K46</f>
        <v>0.39626639057965</v>
      </c>
    </row>
    <row r="62" customFormat="false" ht="15" hidden="false" customHeight="false" outlineLevel="0" collapsed="false">
      <c r="A62" s="5" t="s">
        <v>80</v>
      </c>
      <c r="B62" s="16" t="n">
        <f aca="false">H46+B61</f>
        <v>13980.7712663906</v>
      </c>
    </row>
    <row r="63" customFormat="false" ht="15" hidden="false" customHeight="false" outlineLevel="0" collapsed="false">
      <c r="A63" s="5" t="s">
        <v>81</v>
      </c>
      <c r="B63" s="16" t="n">
        <f aca="false">G46-H46</f>
        <v>14926.2221133963</v>
      </c>
    </row>
    <row r="65" customFormat="false" ht="30" hidden="false" customHeight="true" outlineLevel="0" collapsed="false">
      <c r="A65" s="2" t="s">
        <v>82</v>
      </c>
      <c r="B65" s="2"/>
      <c r="C65" s="2"/>
      <c r="D65" s="2"/>
      <c r="E65" s="2"/>
      <c r="F65" s="2"/>
      <c r="G65" s="2"/>
      <c r="H65" s="2"/>
      <c r="I65" s="2"/>
      <c r="J65" s="2"/>
      <c r="K65" s="2"/>
      <c r="L65" s="2"/>
      <c r="M65" s="2"/>
    </row>
  </sheetData>
  <mergeCells count="4">
    <mergeCell ref="A2:M2"/>
    <mergeCell ref="A36:M36"/>
    <mergeCell ref="A48:M48"/>
    <mergeCell ref="A65:M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83</v>
      </c>
    </row>
    <row r="4" customFormat="false" ht="15" hidden="false" customHeight="false" outlineLevel="0" collapsed="false">
      <c r="A4" s="3" t="s">
        <v>84</v>
      </c>
      <c r="B4" s="29"/>
    </row>
    <row r="5" customFormat="false" ht="30" hidden="false" customHeight="true" outlineLevel="0" collapsed="false">
      <c r="A5" s="30" t="s">
        <v>85</v>
      </c>
      <c r="B5" s="31" t="s">
        <v>86</v>
      </c>
    </row>
    <row r="6" customFormat="false" ht="30" hidden="false" customHeight="true" outlineLevel="0" collapsed="false">
      <c r="A6" s="30" t="s">
        <v>87</v>
      </c>
      <c r="B6" s="31" t="s">
        <v>88</v>
      </c>
    </row>
    <row r="7" customFormat="false" ht="30" hidden="false" customHeight="true" outlineLevel="0" collapsed="false">
      <c r="A7" s="30" t="s">
        <v>89</v>
      </c>
      <c r="B7" s="31" t="s">
        <v>90</v>
      </c>
    </row>
    <row r="9" customFormat="false" ht="15" hidden="false" customHeight="false" outlineLevel="0" collapsed="false">
      <c r="A9" s="3" t="s">
        <v>91</v>
      </c>
      <c r="B9" s="29"/>
    </row>
    <row r="10" customFormat="false" ht="30" hidden="false" customHeight="true" outlineLevel="0" collapsed="false">
      <c r="A10" s="30" t="s">
        <v>92</v>
      </c>
      <c r="B10" s="31" t="s">
        <v>93</v>
      </c>
    </row>
    <row r="11" customFormat="false" ht="30" hidden="false" customHeight="true" outlineLevel="0" collapsed="false">
      <c r="A11" s="30" t="s">
        <v>94</v>
      </c>
      <c r="B11" s="31" t="s">
        <v>95</v>
      </c>
    </row>
    <row r="12" customFormat="false" ht="15" hidden="false" customHeight="true" outlineLevel="0" collapsed="false">
      <c r="A12" s="30" t="s">
        <v>96</v>
      </c>
      <c r="B12" s="31" t="s">
        <v>97</v>
      </c>
    </row>
    <row r="13" customFormat="false" ht="30" hidden="false" customHeight="true" outlineLevel="0" collapsed="false">
      <c r="A13" s="30" t="s">
        <v>98</v>
      </c>
      <c r="B13" s="31" t="s">
        <v>99</v>
      </c>
    </row>
    <row r="14" customFormat="false" ht="45" hidden="false" customHeight="true" outlineLevel="0" collapsed="false">
      <c r="A14" s="30" t="s">
        <v>100</v>
      </c>
      <c r="B14" s="31" t="s">
        <v>101</v>
      </c>
    </row>
    <row r="15" customFormat="false" ht="30" hidden="false" customHeight="true" outlineLevel="0" collapsed="false">
      <c r="A15" s="30" t="s">
        <v>102</v>
      </c>
      <c r="B15" s="31" t="s">
        <v>103</v>
      </c>
    </row>
    <row r="17" customFormat="false" ht="15" hidden="false" customHeight="false" outlineLevel="0" collapsed="false">
      <c r="A17" s="3" t="s">
        <v>104</v>
      </c>
      <c r="B17" s="29"/>
    </row>
    <row r="18" customFormat="false" ht="30" hidden="false" customHeight="true" outlineLevel="0" collapsed="false">
      <c r="A18" s="30" t="s">
        <v>105</v>
      </c>
      <c r="B18" s="31" t="s">
        <v>106</v>
      </c>
    </row>
    <row r="19" customFormat="false" ht="30" hidden="false" customHeight="true" outlineLevel="0" collapsed="false">
      <c r="A19" s="30" t="s">
        <v>107</v>
      </c>
      <c r="B19" s="31" t="s">
        <v>108</v>
      </c>
    </row>
    <row r="20" customFormat="false" ht="45" hidden="false" customHeight="true" outlineLevel="0" collapsed="false">
      <c r="A20" s="30" t="s">
        <v>109</v>
      </c>
      <c r="B20" s="31" t="s">
        <v>110</v>
      </c>
    </row>
    <row r="21" customFormat="false" ht="45" hidden="false" customHeight="true" outlineLevel="0" collapsed="false">
      <c r="A21" s="30" t="s">
        <v>111</v>
      </c>
      <c r="B21" s="31" t="s">
        <v>112</v>
      </c>
    </row>
    <row r="22" customFormat="false" ht="45" hidden="false" customHeight="true" outlineLevel="0" collapsed="false">
      <c r="A22" s="30" t="s">
        <v>113</v>
      </c>
      <c r="B22" s="31" t="s">
        <v>114</v>
      </c>
    </row>
    <row r="23" customFormat="false" ht="15" hidden="false" customHeight="true" outlineLevel="0" collapsed="false">
      <c r="A23" s="30" t="s">
        <v>115</v>
      </c>
      <c r="B23" s="31" t="s">
        <v>116</v>
      </c>
    </row>
    <row r="25" customFormat="false" ht="15" hidden="false" customHeight="false" outlineLevel="0" collapsed="false">
      <c r="A25" s="3" t="s">
        <v>117</v>
      </c>
      <c r="B25" s="29"/>
    </row>
    <row r="26" customFormat="false" ht="30" hidden="false" customHeight="true" outlineLevel="0" collapsed="false">
      <c r="A26" s="30" t="s">
        <v>118</v>
      </c>
      <c r="B26" s="31" t="s">
        <v>119</v>
      </c>
    </row>
    <row r="27" customFormat="false" ht="30" hidden="false" customHeight="true" outlineLevel="0" collapsed="false">
      <c r="A27" s="30" t="s">
        <v>120</v>
      </c>
      <c r="B27" s="31" t="s">
        <v>121</v>
      </c>
    </row>
    <row r="28" customFormat="false" ht="30" hidden="false" customHeight="true" outlineLevel="0" collapsed="false">
      <c r="A28" s="30" t="s">
        <v>122</v>
      </c>
      <c r="B28" s="31" t="s">
        <v>123</v>
      </c>
    </row>
    <row r="30" customFormat="false" ht="15" hidden="false" customHeight="false" outlineLevel="0" collapsed="false">
      <c r="A30" s="3" t="s">
        <v>124</v>
      </c>
      <c r="B30" s="29"/>
    </row>
    <row r="31" customFormat="false" ht="30" hidden="false" customHeight="true" outlineLevel="0" collapsed="false">
      <c r="A31" s="30" t="s">
        <v>125</v>
      </c>
      <c r="B31" s="31" t="s">
        <v>126</v>
      </c>
    </row>
    <row r="32" customFormat="false" ht="30" hidden="false" customHeight="true" outlineLevel="0" collapsed="false">
      <c r="A32" s="30" t="s">
        <v>127</v>
      </c>
      <c r="B32" s="31" t="s">
        <v>128</v>
      </c>
    </row>
    <row r="33" customFormat="false" ht="30" hidden="false" customHeight="true" outlineLevel="0" collapsed="false">
      <c r="A33" s="30" t="s">
        <v>129</v>
      </c>
      <c r="B33" s="31" t="s">
        <v>130</v>
      </c>
    </row>
    <row r="34" customFormat="false" ht="30" hidden="false" customHeight="true" outlineLevel="0" collapsed="false">
      <c r="A34" s="30" t="s">
        <v>131</v>
      </c>
      <c r="B34" s="31" t="s">
        <v>132</v>
      </c>
    </row>
    <row r="35" customFormat="false" ht="30" hidden="false" customHeight="true" outlineLevel="0" collapsed="false">
      <c r="A35" s="30" t="s">
        <v>133</v>
      </c>
      <c r="B35" s="31" t="s">
        <v>134</v>
      </c>
    </row>
    <row r="36" customFormat="false" ht="30" hidden="false" customHeight="true" outlineLevel="0" collapsed="false">
      <c r="A36" s="30" t="s">
        <v>135</v>
      </c>
      <c r="B36" s="31" t="s">
        <v>136</v>
      </c>
    </row>
    <row r="37" customFormat="false" ht="30" hidden="false" customHeight="true" outlineLevel="0" collapsed="false">
      <c r="A37" s="30" t="s">
        <v>137</v>
      </c>
      <c r="B37" s="31" t="s">
        <v>138</v>
      </c>
    </row>
    <row r="38" customFormat="false" ht="30" hidden="false" customHeight="true" outlineLevel="0" collapsed="false">
      <c r="A38" s="30" t="s">
        <v>139</v>
      </c>
      <c r="B38" s="31"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2026-10-16T16:21:36Z</dcterms:created>
  <dc:creator>openpyxl</dc:creator>
  <dc:description/>
  <dc:language>en-US</dc:language>
  <cp:lastModifiedBy/>
  <dcterms:modified xsi:type="dcterms:W3CDTF">2026-10-16T16:21:36Z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