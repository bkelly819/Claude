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tables/table2.xml" ContentType="application/vnd.openxmlformats-officedocument.spreadsheetml.table+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Included Funds" sheetId="2" state="visible" r:id="rId4"/>
    <sheet name="Excluded Funds" sheetId="3" state="visible" r:id="rId5"/>
    <sheet name="Sources &amp; Question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<sst xmlns="http://schemas.openxmlformats.org/spreadsheetml/2006/main" count="1222" uniqueCount="690">
  <si>
    <t xml:space="preserve">ESG Fund Screening – Results and Recommendations</t>
  </si>
  <si>
    <t xml:space="preserve">Universe: 105 ETFs from ESG_List.csv · Research date: Oct 15, 2026 · Research/screening only — not a buy/sell recommendation; assess suitability, risk and costs before use.</t>
  </si>
  <si>
    <t xml:space="preserve">Screening rule: exclude funds from large diversified sponsors (BlackRock/iShares, Invesco, Nuveen/TIAA, Xtrackers/DWS, State Street, Vanguard, First Trust, Global X/Mirae, Dimensional, Avantis, Franklin Templeton, PIMCO, JPMorgan, FlexShares/Northern Trust, Neuberger Berman); include all others.</t>
  </si>
  <si>
    <t xml:space="preserve">Classification</t>
  </si>
  <si>
    <t xml:space="preserve">Count</t>
  </si>
  <si>
    <t xml:space="preserve">Avg expense ratio</t>
  </si>
  <si>
    <t xml:space="preserve">Description</t>
  </si>
  <si>
    <t xml:space="preserve">Included – Tier 1</t>
  </si>
  <si>
    <t xml:space="preserve">Pure ESG manager — whole business is sustainable/impact/values investing</t>
  </si>
  <si>
    <t xml:space="preserve">Included – Tier 2</t>
  </si>
  <si>
    <t xml:space="preserve">ESG mandate; sponsor not ESG-only or mandate needs verification</t>
  </si>
  <si>
    <t xml:space="preserve">Included – Tier 3</t>
  </si>
  <si>
    <t xml:space="preserve">Environmental / thematic industry funds — satellite use only</t>
  </si>
  <si>
    <t xml:space="preserve">Excluded – large diversified sponsor</t>
  </si>
  <si>
    <t xml:space="preserve">Excluded on ownership regardless of ESG mandate strength</t>
  </si>
  <si>
    <t xml:space="preserve">Total</t>
  </si>
  <si>
    <t xml:space="preserve">Should equal 105</t>
  </si>
  <si>
    <t xml:space="preserve">Recommended allocation roles</t>
  </si>
  <si>
    <t xml:space="preserve">Role</t>
  </si>
  <si>
    <t xml:space="preserve">Funds</t>
  </si>
  <si>
    <t xml:space="preserve">Core – US equity</t>
  </si>
  <si>
    <t xml:space="preserve">PRXG + PRXV</t>
  </si>
  <si>
    <t xml:space="preserve">Core – International equity</t>
  </si>
  <si>
    <t xml:space="preserve">IQSI</t>
  </si>
  <si>
    <t xml:space="preserve">Core – Real estate</t>
  </si>
  <si>
    <t xml:space="preserve">VGSR</t>
  </si>
  <si>
    <t xml:space="preserve">Core – Fixed income</t>
  </si>
  <si>
    <t xml:space="preserve">OWNS + GRNB</t>
  </si>
  <si>
    <t xml:space="preserve">Satellite</t>
  </si>
  <si>
    <t xml:space="preserve">ETHO or CHGX (US breadth); CVSB (cash reserve)</t>
  </si>
  <si>
    <t xml:space="preserve">Not recommended despite inclusion</t>
  </si>
  <si>
    <t xml:space="preserve">VOTE, OACP, all Tier 3 (esp. BATT, KARS, KRBN)</t>
  </si>
  <si>
    <t xml:space="preserve">Notes</t>
  </si>
  <si>
    <t xml:space="preserve">• "Fee Verified" = Yes means the expense ratio was confirmed in 2026 data or a sponsor document; "No – verify" values are last-known figures.</t>
  </si>
  <si>
    <t xml:space="preserve">• Holdings for Tier 3 and excluded funds are representative, not a live holdings file. Pull current holdings before presenting.</t>
  </si>
  <si>
    <t xml:space="preserve">• Several sponsor websites were unreachable during research; SEC filings, press releases and agreeing third-party data were used instead.</t>
  </si>
  <si>
    <t xml:space="preserve">• Calvert (Morgan Stanley), Candriam (New York Life), TCW, VanEck and ALPS (SS&amp;C) have large or diversified parents but were not on the exclusion list — flagged for client review.</t>
  </si>
  <si>
    <t xml:space="preserve">• No included fund offers ESG-screened emerging-market equity.</t>
  </si>
  <si>
    <t xml:space="preserve">Tier</t>
  </si>
  <si>
    <t xml:space="preserve">Ticker</t>
  </si>
  <si>
    <t xml:space="preserve">Fund Name</t>
  </si>
  <si>
    <t xml:space="preserve">Manager / Parent</t>
  </si>
  <si>
    <t xml:space="preserve">ESG Philosophy</t>
  </si>
  <si>
    <t xml:space="preserve">Investment Focus</t>
  </si>
  <si>
    <t xml:space="preserve">Major Holdings</t>
  </si>
  <si>
    <t xml:space="preserve">Expense Ratio</t>
  </si>
  <si>
    <t xml:space="preserve">Fee Verified</t>
  </si>
  <si>
    <t xml:space="preserve">Expense Ratio Note</t>
  </si>
  <si>
    <t xml:space="preserve">Assessment</t>
  </si>
  <si>
    <t xml:space="preserve">Recommendation</t>
  </si>
  <si>
    <t xml:space="preserve">Sources</t>
  </si>
  <si>
    <t xml:space="preserve">Tier 1</t>
  </si>
  <si>
    <t xml:space="preserve">OWNS</t>
  </si>
  <si>
    <t xml:space="preserve">CCM Affordable Housing MBS ETF</t>
  </si>
  <si>
    <t xml:space="preserve">Community Capital Management, LLC. Independently owned, Fort Lauderdale, founded 1998. Trust: Quaker Investment Trust</t>
  </si>
  <si>
    <t xml:space="preserve">Buys only MBS whose mortgages go to low- and moderate-income and minority borrowers, prioritizing census tracts that are majority non-white and/or have ≥40% of residents at or below the poverty line, and areas of persistent poverty</t>
  </si>
  <si>
    <t xml:space="preserve">Agency MBS (investment grade); housing access</t>
  </si>
  <si>
    <t xml:space="preserve">Fannie Mae, Freddie Mac and Ginnie Mae pools; government money market fund (~4.5%); ~237–270 positions</t>
  </si>
  <si>
    <t xml:space="preserve">Yes</t>
  </si>
  <si>
    <t xml:space="preserve">0.30% net ✓ (0.57% gross; contractual waiver)</t>
  </si>
  <si>
    <t xml:space="preserve">Verified: independent impact-only fixed-income manager. Flagship Community Impact Bond Fund won Environmental Finance's 2026 award. Judgment: the most measurable social impact on the list</t>
  </si>
  <si>
    <t xml:space="preserve">SEC 485BPOS (Oct 2024); Environmental Finance 2026; Green America profile</t>
  </si>
  <si>
    <t xml:space="preserve">PRXG</t>
  </si>
  <si>
    <t xml:space="preserve">Praxis Impact Large Cap Growth ETF</t>
  </si>
  <si>
    <t xml:space="preserve">Praxis Investment Management / Everence Financial (member-owned nonprofit fraternal benefit society, founded 1945)</t>
  </si>
  <si>
    <t xml:space="preserve">≥80% in large-cap growth companies that fit Praxis Stewardship Investing values. Uses ESG and values screens, shareholder advocacy and community development investing</t>
  </si>
  <si>
    <t xml:space="preserve">US large-cap growth (benchmark: CRSP US Large Cap Growth)</t>
  </si>
  <si>
    <t xml:space="preserve">NVIDIA, Apple, Microsoft; ~50% technology</t>
  </si>
  <si>
    <t xml:space="preserve">0.36% ✓</t>
  </si>
  <si>
    <t xml:space="preserve">Verified: launched Apr 2025; Praxis has run screened funds since 1994. Judgment: the parent is a nonprofit, so the ownership test is met. Faith-based (Anabaptist) values sit alongside ESG</t>
  </si>
  <si>
    <t xml:space="preserve">Business Wire (Apr 2025); Everence fraternal-society page</t>
  </si>
  <si>
    <t xml:space="preserve">PRXV</t>
  </si>
  <si>
    <t xml:space="preserve">Praxis Impact Large Cap Value ETF</t>
  </si>
  <si>
    <t xml:space="preserve">Same as PRXG</t>
  </si>
  <si>
    <t xml:space="preserve">Same framework, value stocks</t>
  </si>
  <si>
    <t xml:space="preserve">US large-cap value (benchmark: CRSP US Large Cap Value)</t>
  </si>
  <si>
    <t xml:space="preserve">JPMorgan Chase (~3.5%), Micron, Walmart, Johnson &amp; Johnson, Procter &amp; Gamble, AbbVie; ~267 positions</t>
  </si>
  <si>
    <t xml:space="preserve">Same as PRXG. Check that the large bank and pharma weights fit the client's priorities</t>
  </si>
  <si>
    <t xml:space="preserve">Same; Morningstar/StockAnalysis holdings</t>
  </si>
  <si>
    <t xml:space="preserve">Vert Global Sustainable Real Estate ETF</t>
  </si>
  <si>
    <t xml:space="preserve">Vert Asset Management (B Corp; PRI and Net Zero Asset Managers signatory). Sub-adviser: Dimensional</t>
  </si>
  <si>
    <t xml:space="preserve">≥80% in real estate companies passing Vert's ESG criteria: top quartile across three rating agencies, plus issue leaders (affordable housing, biodiversity). Excludes fossil-fuel and private-prison REITs</t>
  </si>
  <si>
    <t xml:space="preserve">Global listed real estate / REITs</t>
  </si>
  <si>
    <t xml:space="preserve">Welltower, Simon Property, Digital Realty, Prologis, Equinix; ~144 positions; top 10 ≈ 44%</t>
  </si>
  <si>
    <t xml:space="preserve">0.45% ✓ (some sources 0.51%)</t>
  </si>
  <si>
    <t xml:space="preserve">Verified: Vert's only business is sustainable investing. Converted from VGSRX on Dec 4, 2023. Caveat: Dimensional handles implementation</t>
  </si>
  <si>
    <t xml:space="preserve">SEC N-CSRS (Dec 2024); UN PRI case study; B Lab</t>
  </si>
  <si>
    <t xml:space="preserve">Tier 2</t>
  </si>
  <si>
    <t xml:space="preserve">CHGX</t>
  </si>
  <si>
    <t xml:space="preserve">Stance Sustainable Beta ETF</t>
  </si>
  <si>
    <t xml:space="preserve">Adviser: Empowered Funds (EA Series Trust, a white-label platform). Sub-adviser and index owner: Stance Capital (quant ESG boutique)</t>
  </si>
  <si>
    <t xml:space="preserve">Change Finance Diversified Impact U.S. Large Cap Fossil Fuel Free Index: ~100 equal-weighted stocks; no fossil-fuel producers or fossil-fired utilities; ESG exclusions</t>
  </si>
  <si>
    <t xml:space="preserve">US large/mid-cap equity, equal weight</t>
  </si>
  <si>
    <t xml:space="preserve">Applied Materials, Sandisk, Teradyne, Western Digital, Intel, AMD (~1.3% each, mid-2026)</t>
  </si>
  <si>
    <t xml:space="preserve">0.49% ✓</t>
  </si>
  <si>
    <t xml:space="preserve">Strong fossil-free mandate. Caveat: management moved from AXS/Change Finance to Stance in Apr 2025, so confirm the methodology is intact. Tilted toward semiconductors</t>
  </si>
  <si>
    <t xml:space="preserve">Satellite (choose ETHO or CHGX)</t>
  </si>
  <si>
    <t xml:space="preserve">CHGX summary prospectus; SEC N-14; Nasdaq DTN2025-11</t>
  </si>
  <si>
    <t xml:space="preserve">ETHO</t>
  </si>
  <si>
    <t xml:space="preserve">Amplify Etho Climate Leadership U.S. ETF</t>
  </si>
  <si>
    <t xml:space="preserve">Amplify Investments (independent multi-strategy ETF sponsor). Sub-adviser: Tidal. Index: Etho Capital (climate-dedicated)</t>
  </si>
  <si>
    <t xml:space="preserve">Ranks 10,000+ stocks on carbon efficiency; excludes fossil fuels, tobacco, weapons, gambling; ESG company screen; stakeholder review</t>
  </si>
  <si>
    <t xml:space="preserve">US all-cap equity, equal weight, ~290 names (small/mid tilt)</t>
  </si>
  <si>
    <t xml:space="preserve">MaxLinear, Aehr Test Systems, CEVA, Datadog (~1.5% each, mid-2026)</t>
  </si>
  <si>
    <t xml:space="preserve">0.45% ✓</t>
  </si>
  <si>
    <t xml:space="preserve">Strong climate methodology and broad diversification. The ESG commitment comes from the index provider, not Amplify</t>
  </si>
  <si>
    <t xml:space="preserve">Amplify ETHO page; Amplify ETF Trust SEC filings</t>
  </si>
  <si>
    <t xml:space="preserve">OACP</t>
  </si>
  <si>
    <t xml:space="preserve">OneAscent Core Plus Bond ETF</t>
  </si>
  <si>
    <t xml:space="preserve">OneAscent Investment Solutions (Birmingham, AL; faith-based family of firms). Sub-adviser not named in sources found</t>
  </si>
  <si>
    <t xml:space="preserve">"Eliminate, evaluate, elevate": excludes harmful issuers, favors issuers that promote community and environmental flourishing; values-based and impact criteria</t>
  </si>
  <si>
    <t xml:space="preserve">Active core-plus bonds (~40% corporate, 27% securitized, 22% government, 11% muni)</t>
  </si>
  <si>
    <t xml:space="preserve">US Treasuries and TIPS, Fannie Mae pools (top 10 ≈ 19%)</t>
  </si>
  <si>
    <t xml:space="preserve">0.74% ✓</t>
  </si>
  <si>
    <t xml:space="preserve">Fills the core-bond gap. Caveats: faith-based screens, values given "special consideration" rather than primacy, high fee, sub-adviser unknown</t>
  </si>
  <si>
    <t xml:space="preserve">Not recommended</t>
  </si>
  <si>
    <t xml:space="preserve">OneAscent fund page; MarketXLS holdings</t>
  </si>
  <si>
    <t xml:space="preserve">CVSB</t>
  </si>
  <si>
    <t xml:space="preserve">Calvert Ultra-Short Investment Grade ETF</t>
  </si>
  <si>
    <t xml:space="preserve">Calvert Research &amp; Management / Morgan Stanley</t>
  </si>
  <si>
    <t xml:space="preserve">Calvert Principles for Responsible Investment: proprietary ESG research, exclusions, engagement. ESG specialist since 1976</t>
  </si>
  <si>
    <t xml:space="preserve">Ultra-short investment-grade bonds (duration ≤1 yr)</t>
  </si>
  <si>
    <t xml:space="preserve">Short investment-grade corporates, ABS, T-bills</t>
  </si>
  <si>
    <t xml:space="preserve">0.24% ✓</t>
  </si>
  <si>
    <t xml:space="preserve">Calvert's ESG credentials are strong. Flag: its parent (Morgan Stanley) is a large diversified bank. Included because it was not on the exclusion list</t>
  </si>
  <si>
    <t xml:space="preserve">Satellite – Cash reserve</t>
  </si>
  <si>
    <t xml:space="preserve">Morgan Stanley IM fund profile</t>
  </si>
  <si>
    <t xml:space="preserve">IQSU</t>
  </si>
  <si>
    <t xml:space="preserve">NYLI Candriam U.S. Large Cap Equity ETF</t>
  </si>
  <si>
    <t xml:space="preserve">New York Life Investments; index by Candriam (NYL subsidiary)</t>
  </si>
  <si>
    <t xml:space="preserve">Candriam ESG index: excludes controversial activities and UN Global Compact violators, then ranks best-in-class</t>
  </si>
  <si>
    <t xml:space="preserve">US large-cap equity</t>
  </si>
  <si>
    <t xml:space="preserve">Microsoft, Apple, NVIDIA, Alphabet, Visa</t>
  </si>
  <si>
    <t xml:space="preserve">0.09% ✓</t>
  </si>
  <si>
    <t xml:space="preserve">Strong exclusion screen at very low cost. Flag: parent is a large insurer and asset manager</t>
  </si>
  <si>
    <t xml:space="preserve">StockAnalysis IQSU</t>
  </si>
  <si>
    <t xml:space="preserve">NYLI Candriam International Equity ETF</t>
  </si>
  <si>
    <t xml:space="preserve">Same as IQSU</t>
  </si>
  <si>
    <t xml:space="preserve">Same, developed ex-US</t>
  </si>
  <si>
    <t xml:space="preserve">Developed international equity</t>
  </si>
  <si>
    <t xml:space="preserve">ASML, Novartis, Novo Nordisk, Toyota, SAP</t>
  </si>
  <si>
    <t xml:space="preserve">0.15–0.16% ✓</t>
  </si>
  <si>
    <t xml:space="preserve">The only included international equity fund. Same flag as IQSU</t>
  </si>
  <si>
    <t xml:space="preserve">Trackinsight IQSI</t>
  </si>
  <si>
    <t xml:space="preserve">GRNB</t>
  </si>
  <si>
    <t xml:space="preserve">VanEck Green Bond ETF</t>
  </si>
  <si>
    <t xml:space="preserve">VanEck (independent, family-owned, multi-asset)</t>
  </si>
  <si>
    <t xml:space="preserve">Use-of-proceeds green bonds certified under the Climate Bonds Initiative</t>
  </si>
  <si>
    <t xml:space="preserve">Global green bonds, mostly investment grade</t>
  </si>
  <si>
    <t xml:space="preserve">Supranational, sovereign, utility and bank green bonds</t>
  </si>
  <si>
    <t xml:space="preserve">No – verify</t>
  </si>
  <si>
    <t xml:space="preserve">~0.20%</t>
  </si>
  <si>
    <t xml:space="preserve">Measurable environmental use of proceeds. VanEck is diversified but not on the exclusion list</t>
  </si>
  <si>
    <t xml:space="preserve">VanEck GRNB page (verify fee)</t>
  </si>
  <si>
    <t xml:space="preserve">VOTE</t>
  </si>
  <si>
    <t xml:space="preserve">TCW Transform 500 ETF</t>
  </si>
  <si>
    <t xml:space="preserve">TCW Group (diversified active manager)</t>
  </si>
  <si>
    <t xml:space="preserve">Formerly Engine No. 1. Broad US index; ESG comes only from proxy voting and engagement, with no exclusion screens</t>
  </si>
  <si>
    <t xml:space="preserve">US large-cap equity (S&amp;P 500-like)</t>
  </si>
  <si>
    <t xml:space="preserve">Apple, Microsoft, NVIDIA, Amazon</t>
  </si>
  <si>
    <t xml:space="preserve">~0.05%</t>
  </si>
  <si>
    <t xml:space="preserve">Weakest Tier 2 fund. It holds fossil-fuel companies and differs little from a conventional index. Included as directed, but not recommended for a strict ESG client</t>
  </si>
  <si>
    <t xml:space="preserve">— (verify on TCW site)</t>
  </si>
  <si>
    <t xml:space="preserve">Tier 3</t>
  </si>
  <si>
    <t xml:space="preserve">ACES</t>
  </si>
  <si>
    <t xml:space="preserve">ALPS Clean Energy ETF</t>
  </si>
  <si>
    <t xml:space="preserve">ALPS Advisors / SS&amp;C Technologies</t>
  </si>
  <si>
    <t xml:space="preserve">Thematic industry exposure (no ESG screening philosophy)</t>
  </si>
  <si>
    <t xml:space="preserve">US &amp; Canadian clean energy</t>
  </si>
  <si>
    <t xml:space="preserve">Tesla, First Solar, Enphase, Brookfield Renewable</t>
  </si>
  <si>
    <t xml:space="preserve">~0.55%</t>
  </si>
  <si>
    <t xml:space="preserve">Concentrated and volatile. The parent is a fund-services company</t>
  </si>
  <si>
    <t xml:space="preserve">Fee is last-known; verify on sponsor site</t>
  </si>
  <si>
    <t xml:space="preserve">SMOG</t>
  </si>
  <si>
    <t xml:space="preserve">VanEck Low Carbon Energy ETF</t>
  </si>
  <si>
    <t xml:space="preserve">VanEck</t>
  </si>
  <si>
    <t xml:space="preserve">Low-carbon energy</t>
  </si>
  <si>
    <t xml:space="preserve">NextEra, Tesla, Vestas, Iberdrola</t>
  </si>
  <si>
    <t xml:space="preserve">~0.61%</t>
  </si>
  <si>
    <t xml:space="preserve">Pure-play clean energy. Concentrated</t>
  </si>
  <si>
    <t xml:space="preserve">EVX</t>
  </si>
  <si>
    <t xml:space="preserve">VanEck Environmental Services ETF</t>
  </si>
  <si>
    <t xml:space="preserve">Waste &amp; environmental services</t>
  </si>
  <si>
    <t xml:space="preserve">Waste Management, Republic Services, Clean Harbors</t>
  </si>
  <si>
    <t xml:space="preserve">Waste haulers operate landfills, so the environmental profile is mixed</t>
  </si>
  <si>
    <t xml:space="preserve">TBLU</t>
  </si>
  <si>
    <t xml:space="preserve">Tortoise Global Water Fund</t>
  </si>
  <si>
    <t xml:space="preserve">Tortoise Capital Advisors</t>
  </si>
  <si>
    <t xml:space="preserve">Water infrastructure</t>
  </si>
  <si>
    <t xml:space="preserve">Water utilities &amp; equipment makers</t>
  </si>
  <si>
    <t xml:space="preserve">~0.40%</t>
  </si>
  <si>
    <t xml:space="preserve">Theme is positive, but the sponsor's core business is energy (midstream) infrastructure</t>
  </si>
  <si>
    <t xml:space="preserve">PWRD</t>
  </si>
  <si>
    <t xml:space="preserve">TCW Transform Systems ETF</t>
  </si>
  <si>
    <t xml:space="preserve">TCW Group</t>
  </si>
  <si>
    <t xml:space="preserve">Electrification / energy systems</t>
  </si>
  <si>
    <t xml:space="preserve">Utilities, grid and industrial names</t>
  </si>
  <si>
    <t xml:space="preserve">~0.75%</t>
  </si>
  <si>
    <t xml:space="preserve">Active thematic. Fee is high</t>
  </si>
  <si>
    <t xml:space="preserve">BATT</t>
  </si>
  <si>
    <t xml:space="preserve">Amplify Lithium &amp; Battery Technology ETF</t>
  </si>
  <si>
    <t xml:space="preserve">Amplify ETFs</t>
  </si>
  <si>
    <t xml:space="preserve">Battery supply chain</t>
  </si>
  <si>
    <t xml:space="preserve">Lithium, cobalt and nickel miners; BYD; Albemarle</t>
  </si>
  <si>
    <t xml:space="preserve">~0.59%</t>
  </si>
  <si>
    <t xml:space="preserve">Mining carries significant environmental and human-rights risk. Not consistent with a strict ESG philosophy</t>
  </si>
  <si>
    <t xml:space="preserve">KARS</t>
  </si>
  <si>
    <t xml:space="preserve">KraneShares Electric Vehicles &amp; Future Mobility ETF</t>
  </si>
  <si>
    <t xml:space="preserve">KraneShares</t>
  </si>
  <si>
    <t xml:space="preserve">EV supply chain</t>
  </si>
  <si>
    <t xml:space="preserve">BYD, Tesla, lithium miners</t>
  </si>
  <si>
    <t xml:space="preserve">~0.72%</t>
  </si>
  <si>
    <t xml:space="preserve">Includes miners and automakers</t>
  </si>
  <si>
    <t xml:space="preserve">KGRN</t>
  </si>
  <si>
    <t xml:space="preserve">KraneShares MSCI China Clean Technology ETF</t>
  </si>
  <si>
    <t xml:space="preserve">China clean tech</t>
  </si>
  <si>
    <t xml:space="preserve">BYD, LONGi, Chinese renewables</t>
  </si>
  <si>
    <t xml:space="preserve">~0.79%</t>
  </si>
  <si>
    <t xml:space="preserve">Single-country concentration. China governance and transparency concerns</t>
  </si>
  <si>
    <t xml:space="preserve">KRBN</t>
  </si>
  <si>
    <t xml:space="preserve">KraneShares Global Carbon ETF</t>
  </si>
  <si>
    <t xml:space="preserve">Carbon-allowance futures (EU/US/UK)</t>
  </si>
  <si>
    <t xml:space="preserve">EUA, CCA, RGGI futures</t>
  </si>
  <si>
    <t xml:space="preserve">~0.78%</t>
  </si>
  <si>
    <t xml:space="preserve">Holds pollution permits, not companies. 1933 Act commodity pool. Speculative hedge on carbon prices</t>
  </si>
  <si>
    <t xml:space="preserve">Group</t>
  </si>
  <si>
    <t xml:space="preserve">ESG Approach / Theme</t>
  </si>
  <si>
    <t xml:space="preserve">Representative Holdings</t>
  </si>
  <si>
    <t xml:space="preserve">Why Excluded / Assessment</t>
  </si>
  <si>
    <t xml:space="preserve">Mandate Strength</t>
  </si>
  <si>
    <t xml:space="preserve">Strong ESG mandates (excluded on ownership)</t>
  </si>
  <si>
    <t xml:space="preserve">USXF</t>
  </si>
  <si>
    <t xml:space="preserve">iShares ESG Advanced MSCI USA ETF</t>
  </si>
  <si>
    <t xml:space="preserve">BlackRock</t>
  </si>
  <si>
    <t xml:space="preserve">MSCI "Advanced" screen: excludes fossil fuels, weapons, tobacco, private prisons, predatory lending, palm oil, etc.; keeps higher ESG-rated firms</t>
  </si>
  <si>
    <t xml:space="preserve">US large/mid-cap equity</t>
  </si>
  <si>
    <t xml:space="preserve">NVIDIA, Microsoft, Visa, Mastercard, Home Depot</t>
  </si>
  <si>
    <t xml:space="preserve">O</t>
  </si>
  <si>
    <t xml:space="preserve">Strong</t>
  </si>
  <si>
    <t xml:space="preserve">DMXF</t>
  </si>
  <si>
    <t xml:space="preserve">iShares ESG Advanced MSCI EAFE ETF</t>
  </si>
  <si>
    <t xml:space="preserve">Same "Advanced" exclusion set, developed ex-US</t>
  </si>
  <si>
    <t xml:space="preserve">ASML, Novartis, Novo Nordisk, Schneider Electric, SAP</t>
  </si>
  <si>
    <t xml:space="preserve">EMXF</t>
  </si>
  <si>
    <t xml:space="preserve">iShares ESG Advanced MSCI EM ETF</t>
  </si>
  <si>
    <t xml:space="preserve">Same "Advanced" exclusion set, emerging markets</t>
  </si>
  <si>
    <t xml:space="preserve">Emerging-market equity</t>
  </si>
  <si>
    <t xml:space="preserve">TSMC, HDFC Bank, Infosys, Meituan</t>
  </si>
  <si>
    <t xml:space="preserve">EUSB</t>
  </si>
  <si>
    <t xml:space="preserve">iShares ESG Advanced Universal USD Bond ETF</t>
  </si>
  <si>
    <t xml:space="preserve">Excludes issuers in fossil fuels, weapons, tobacco and controversies; ESG-rated corporates</t>
  </si>
  <si>
    <t xml:space="preserve">Broad USD investment-grade and some high-yield bonds</t>
  </si>
  <si>
    <t xml:space="preserve">Treasuries, agency MBS, investment-grade corporates</t>
  </si>
  <si>
    <t xml:space="preserve">HYXF</t>
  </si>
  <si>
    <t xml:space="preserve">iShares ESG Advanced High Yield Corp Bond ETF</t>
  </si>
  <si>
    <t xml:space="preserve">Advanced exclusions applied to high-yield corporates</t>
  </si>
  <si>
    <t xml:space="preserve">US high-yield corporate bonds</t>
  </si>
  <si>
    <t xml:space="preserve">BB/B corporate issuers outside excluded sectors</t>
  </si>
  <si>
    <t xml:space="preserve">DSI</t>
  </si>
  <si>
    <t xml:space="preserve">iShares ESG MSCI KLD 400 ETF</t>
  </si>
  <si>
    <t xml:space="preserve">MSCI KLD 400 Social Index (Domini 400 lineage, the original SRI benchmark): excludes alcohol, tobacco, gambling, weapons, nuclear and fossil-fuel reserve owners; selects ESG leaders</t>
  </si>
  <si>
    <t xml:space="preserve">US large/mid-cap equity, ~400 names</t>
  </si>
  <si>
    <t xml:space="preserve">NVIDIA, Microsoft, Alphabet, Tesla, Visa</t>
  </si>
  <si>
    <t xml:space="preserve">O. Historic SRI index, but sponsored by BlackRock</t>
  </si>
  <si>
    <t xml:space="preserve">SDG</t>
  </si>
  <si>
    <t xml:space="preserve">iShares MSCI Global Sustainable Development Goals ETF</t>
  </si>
  <si>
    <t xml:space="preserve">Impact index: ≥50% (generally) of revenue from UN-SDG-aligned products such as healthcare, clean energy and green buildings</t>
  </si>
  <si>
    <t xml:space="preserve">Global impact equity, concentrated</t>
  </si>
  <si>
    <t xml:space="preserve">Vestas, Novo Nordisk, First Solar, Xinyi Solar, Daiichi Sankyo</t>
  </si>
  <si>
    <t xml:space="preserve">Strong (impact)</t>
  </si>
  <si>
    <t xml:space="preserve">BGRN</t>
  </si>
  <si>
    <t xml:space="preserve">iShares USD Green Bond ETF</t>
  </si>
  <si>
    <t xml:space="preserve">Use-of-proceeds green bonds (Climate Bonds Initiative-aligned)</t>
  </si>
  <si>
    <t xml:space="preserve">Global USD green bonds: supranational, sovereign, corporate</t>
  </si>
  <si>
    <t xml:space="preserve">EIB, KfW, World Bank green bonds; corporate green bonds</t>
  </si>
  <si>
    <t xml:space="preserve">Strong (use of proceeds)</t>
  </si>
  <si>
    <t xml:space="preserve">FLMB</t>
  </si>
  <si>
    <t xml:space="preserve">Franklin Municipal Green Bond ETF</t>
  </si>
  <si>
    <t xml:space="preserve">Franklin Templeton</t>
  </si>
  <si>
    <t xml:space="preserve">Municipal bonds financing environmental projects (water, clean transport, renewable energy)</t>
  </si>
  <si>
    <t xml:space="preserve">Tax-exempt municipal bonds, long duration</t>
  </si>
  <si>
    <t xml:space="preserve">Water/sewer revenue bonds, transit authorities, green-certified munis</t>
  </si>
  <si>
    <t xml:space="preserve">O. Status confirmed: not among the 2026 Putnam/Franklin ESG liquidations</t>
  </si>
  <si>
    <t xml:space="preserve">JMSI</t>
  </si>
  <si>
    <t xml:space="preserve">JPMorgan Sustainable Municipal Income ETF</t>
  </si>
  <si>
    <t xml:space="preserve">J.P. Morgan Asset Management</t>
  </si>
  <si>
    <t xml:space="preserve">Munis screened for ESG and sustainability factors</t>
  </si>
  <si>
    <t xml:space="preserve">Intermediate municipal bonds</t>
  </si>
  <si>
    <t xml:space="preserve">Revenue and general obligation munis (education, housing, utilities)</t>
  </si>
  <si>
    <t xml:space="preserve">Moderate–Strong</t>
  </si>
  <si>
    <t xml:space="preserve">NZAC</t>
  </si>
  <si>
    <t xml:space="preserve">State Street SPDR MSCI ACWI Climate Paris Aligned ETF</t>
  </si>
  <si>
    <t xml:space="preserve">State Street Global Advisors</t>
  </si>
  <si>
    <t xml:space="preserve">EU Paris-Aligned Benchmark: decarbonization path, fossil-fuel exclusions</t>
  </si>
  <si>
    <t xml:space="preserve">Global equity</t>
  </si>
  <si>
    <t xml:space="preserve">Microsoft, Apple, NVIDIA, Alphabet, Tesla</t>
  </si>
  <si>
    <t xml:space="preserve">Moderate–Strong (climate)</t>
  </si>
  <si>
    <t xml:space="preserve">DFSB</t>
  </si>
  <si>
    <t xml:space="preserve">Dimensional Global Sustainability Fixed Income ETF</t>
  </si>
  <si>
    <t xml:space="preserve">Dimensional Fund Advisors</t>
  </si>
  <si>
    <t xml:space="preserve">Excludes or underweights issuers by carbon intensity, fossil-fuel reserves and certain products</t>
  </si>
  <si>
    <t xml:space="preserve">Global investment-grade bonds (USD-hedged)</t>
  </si>
  <si>
    <t xml:space="preserve">Government and corporate investment-grade bonds</t>
  </si>
  <si>
    <t xml:space="preserve">O, I</t>
  </si>
  <si>
    <t xml:space="preserve">Moderate</t>
  </si>
  <si>
    <t xml:space="preserve">DFSU</t>
  </si>
  <si>
    <t xml:space="preserve">Dimensional US Sustainability Core 1 ETF</t>
  </si>
  <si>
    <t xml:space="preserve">Factor core strategy with carbon-intensity underweights and exclusions (tobacco, weapons, fossil reserves)</t>
  </si>
  <si>
    <t xml:space="preserve">US all-cap equity</t>
  </si>
  <si>
    <t xml:space="preserve">Apple, Microsoft, NVIDIA, Amazon, Alphabet</t>
  </si>
  <si>
    <t xml:space="preserve">DFSI</t>
  </si>
  <si>
    <t xml:space="preserve">Dimensional International Sustainability Core 1 ETF</t>
  </si>
  <si>
    <t xml:space="preserve">Novo Nordisk, ASML, Nestlé, Toyota</t>
  </si>
  <si>
    <t xml:space="preserve">ESG-integrated or screened conventional indexes</t>
  </si>
  <si>
    <t xml:space="preserve">AVSU</t>
  </si>
  <si>
    <t xml:space="preserve">Avantis Responsible US Equity ETF</t>
  </si>
  <si>
    <t xml:space="preserve">Avantis / American Century</t>
  </si>
  <si>
    <t xml:space="preserve">Factor strategy (value/profitability) with exclusions for fossil fuels, weapons, tobacco, etc.</t>
  </si>
  <si>
    <t xml:space="preserve">Apple, Microsoft, NVIDIA, Amazon, Meta</t>
  </si>
  <si>
    <t xml:space="preserve">AVSD</t>
  </si>
  <si>
    <t xml:space="preserve">Avantis Responsible International Equity ETF</t>
  </si>
  <si>
    <t xml:space="preserve">Novo Nordisk, ASML, Roche, Toyota</t>
  </si>
  <si>
    <t xml:space="preserve">AVSE</t>
  </si>
  <si>
    <t xml:space="preserve">Avantis Responsible Emerging Markets Equity ETF</t>
  </si>
  <si>
    <t xml:space="preserve">Same, emerging markets</t>
  </si>
  <si>
    <t xml:space="preserve">EM equity</t>
  </si>
  <si>
    <t xml:space="preserve">TSMC, Tencent, Samsung, Infosys</t>
  </si>
  <si>
    <t xml:space="preserve">LCTU</t>
  </si>
  <si>
    <t xml:space="preserve">iShares U.S. Carbon Transition Readiness Aware Active ETF</t>
  </si>
  <si>
    <t xml:space="preserve">Active overweight of companies rated "ready" for low-carbon transition; still holds energy</t>
  </si>
  <si>
    <t xml:space="preserve">NVIDIA, Apple, Microsoft, Amazon</t>
  </si>
  <si>
    <t xml:space="preserve">Light</t>
  </si>
  <si>
    <t xml:space="preserve">LCTD</t>
  </si>
  <si>
    <t xml:space="preserve">iShares World ex U.S. Carbon Transition Readiness Aware Active ETF</t>
  </si>
  <si>
    <t xml:space="preserve">Same, ex-US</t>
  </si>
  <si>
    <t xml:space="preserve">ASML, Royal Bank of Canada, Novartis</t>
  </si>
  <si>
    <t xml:space="preserve">ESGG</t>
  </si>
  <si>
    <t xml:space="preserve">FlexShares STOXX Global ESG Select Index Fund</t>
  </si>
  <si>
    <t xml:space="preserve">Northern Trust</t>
  </si>
  <si>
    <t xml:space="preserve">Best-in-class ESG selection with controversy exclusions, sector-neutral</t>
  </si>
  <si>
    <t xml:space="preserve">Global large-cap equity</t>
  </si>
  <si>
    <t xml:space="preserve">Microsoft, Apple, NVIDIA, ASML</t>
  </si>
  <si>
    <t xml:space="preserve">ESG</t>
  </si>
  <si>
    <t xml:space="preserve">FlexShares STOXX US ESG Select Index Fund</t>
  </si>
  <si>
    <t xml:space="preserve">Same, US</t>
  </si>
  <si>
    <t xml:space="preserve">Microsoft, Apple, NVIDIA, Alphabet</t>
  </si>
  <si>
    <t xml:space="preserve">LRGE</t>
  </si>
  <si>
    <t xml:space="preserve">ClearBridge Large Cap Growth Select ETF</t>
  </si>
  <si>
    <t xml:space="preserve">ClearBridge / Franklin Templeton</t>
  </si>
  <si>
    <t xml:space="preserve">Conventional growth fund with ESG integration and engagement (formerly the ESG-branded version)</t>
  </si>
  <si>
    <t xml:space="preserve">US large-cap growth equity</t>
  </si>
  <si>
    <t xml:space="preserve">Microsoft, Amazon, NVIDIA, Meta, Visa</t>
  </si>
  <si>
    <t xml:space="preserve">KLMT</t>
  </si>
  <si>
    <t xml:space="preserve">Invesco MSCI Global Climate 500 ETF</t>
  </si>
  <si>
    <t xml:space="preserve">Invesco</t>
  </si>
  <si>
    <t xml:space="preserve">Climate-tilted global index: reweights by emissions and transition metrics. Operating as of July 2026 per SEC filing</t>
  </si>
  <si>
    <t xml:space="preserve">Microsoft, Apple, NVIDIA, Amazon</t>
  </si>
  <si>
    <t xml:space="preserve">Light (climate tilt)</t>
  </si>
  <si>
    <t xml:space="preserve">QQMG</t>
  </si>
  <si>
    <t xml:space="preserve">Invesco ESG NASDAQ 100 ETF</t>
  </si>
  <si>
    <t xml:space="preserve">Nasdaq-100 with ESG-score and controversy screens</t>
  </si>
  <si>
    <t xml:space="preserve">US large-cap growth/tech</t>
  </si>
  <si>
    <t xml:space="preserve">Apple, Microsoft, NVIDIA, Broadcom</t>
  </si>
  <si>
    <t xml:space="preserve">RSPE</t>
  </si>
  <si>
    <t xml:space="preserve">Invesco ESG S&amp;P 500 Equal Weight ETF</t>
  </si>
  <si>
    <t xml:space="preserve">Equal-weight S&amp;P 500 ESG index</t>
  </si>
  <si>
    <t xml:space="preserve">US large-cap, equal weight</t>
  </si>
  <si>
    <t xml:space="preserve">~180–200 S&amp;P 500 members at ~0.5% each</t>
  </si>
  <si>
    <t xml:space="preserve">ESGU</t>
  </si>
  <si>
    <t xml:space="preserve">iShares ESG Aware MSCI USA ETF</t>
  </si>
  <si>
    <t xml:space="preserve">Optimized to raise ESG score versus MSCI USA while tracking it closely; few exclusions</t>
  </si>
  <si>
    <t xml:space="preserve">NVIDIA ~7%, Apple ~6.5%, Microsoft ~4%, Alphabet, Amazon</t>
  </si>
  <si>
    <t xml:space="preserve">ESML</t>
  </si>
  <si>
    <t xml:space="preserve">iShares ESG Aware MSCI USA Small-Cap ETF</t>
  </si>
  <si>
    <t xml:space="preserve">Same "Aware" optimization, small-cap</t>
  </si>
  <si>
    <t xml:space="preserve">US small-cap equity</t>
  </si>
  <si>
    <t xml:space="preserve">Diversified small caps, ~900+ names</t>
  </si>
  <si>
    <t xml:space="preserve">EVUS</t>
  </si>
  <si>
    <t xml:space="preserve">iShares ESG Aware MSCI USA Value ETF</t>
  </si>
  <si>
    <t xml:space="preserve">Same "Aware" optimization, value</t>
  </si>
  <si>
    <t xml:space="preserve">US large-cap value</t>
  </si>
  <si>
    <t xml:space="preserve">JPMorgan, Berkshire, Johnson &amp; Johnson, Procter &amp; Gamble</t>
  </si>
  <si>
    <t xml:space="preserve">O, I. CUSIP in source file corrupted (`4.64E+225`)</t>
  </si>
  <si>
    <t xml:space="preserve">ESGD</t>
  </si>
  <si>
    <t xml:space="preserve">iShares ESG Aware MSCI EAFE ETF</t>
  </si>
  <si>
    <t xml:space="preserve">ASML, Novo Nordisk, Nestlé, SAP</t>
  </si>
  <si>
    <t xml:space="preserve">ESGE</t>
  </si>
  <si>
    <t xml:space="preserve">iShares ESG Aware MSCI EM ETF</t>
  </si>
  <si>
    <t xml:space="preserve">Same, EM</t>
  </si>
  <si>
    <t xml:space="preserve">TSMC, Tencent, Samsung</t>
  </si>
  <si>
    <t xml:space="preserve">LDEM</t>
  </si>
  <si>
    <t xml:space="preserve">iShares ESG MSCI EM Leaders ETF</t>
  </si>
  <si>
    <t xml:space="preserve">Best-in-class ESG leaders within EM</t>
  </si>
  <si>
    <t xml:space="preserve">TSMC, Tencent, Alibaba, Reliance</t>
  </si>
  <si>
    <t xml:space="preserve">SUSL</t>
  </si>
  <si>
    <t xml:space="preserve">iShares ESG MSCI USA Leaders ETF</t>
  </si>
  <si>
    <t xml:space="preserve">Top-half ESG scorers per sector</t>
  </si>
  <si>
    <t xml:space="preserve">NVIDIA, Microsoft, Alphabet, Tesla</t>
  </si>
  <si>
    <t xml:space="preserve">SUSA</t>
  </si>
  <si>
    <t xml:space="preserve">iShares ESG Optimized MSCI USA ETF</t>
  </si>
  <si>
    <t xml:space="preserve">Optimized for higher ESG score</t>
  </si>
  <si>
    <t xml:space="preserve">NVIDIA, Microsoft, Apple</t>
  </si>
  <si>
    <t xml:space="preserve">Light–Moderate</t>
  </si>
  <si>
    <t xml:space="preserve">XVV</t>
  </si>
  <si>
    <t xml:space="preserve">iShares ESG Select Screened S&amp;P 500 ETF</t>
  </si>
  <si>
    <t xml:space="preserve">S&amp;P 500 minus controversial weapons, tobacco, thermal coal, oil sands, small arms, UNGC violators</t>
  </si>
  <si>
    <t xml:space="preserve">XJH</t>
  </si>
  <si>
    <t xml:space="preserve">iShares ESG Select Screened S&amp;P Mid-Cap ETF</t>
  </si>
  <si>
    <t xml:space="preserve">Same screen, S&amp;P 400</t>
  </si>
  <si>
    <t xml:space="preserve">US mid-cap equity</t>
  </si>
  <si>
    <t xml:space="preserve">Diversified mid caps</t>
  </si>
  <si>
    <t xml:space="preserve">XJR</t>
  </si>
  <si>
    <t xml:space="preserve">iShares ESG Select Screened S&amp;P Small-Cap ETF</t>
  </si>
  <si>
    <t xml:space="preserve">Same screen, S&amp;P 600</t>
  </si>
  <si>
    <t xml:space="preserve">Diversified small caps</t>
  </si>
  <si>
    <t xml:space="preserve">CRBN</t>
  </si>
  <si>
    <t xml:space="preserve">iShares Low Carbon Optimized MSCI ACWI ETF</t>
  </si>
  <si>
    <t xml:space="preserve">Minimizes carbon emissions and reserves while tracking ACWI</t>
  </si>
  <si>
    <t xml:space="preserve">Light (carbon tilt)</t>
  </si>
  <si>
    <t xml:space="preserve">EAGG</t>
  </si>
  <si>
    <t xml:space="preserve">iShares ESG Aware U.S. Aggregate Bond ETF</t>
  </si>
  <si>
    <t xml:space="preserve">ESG-optimized Bloomberg US Aggregate</t>
  </si>
  <si>
    <t xml:space="preserve">US core bonds</t>
  </si>
  <si>
    <t xml:space="preserve">SUSC</t>
  </si>
  <si>
    <t xml:space="preserve">iShares ESG Aware USD Corporate Bond ETF</t>
  </si>
  <si>
    <t xml:space="preserve">ESG-optimized investment-grade corporates</t>
  </si>
  <si>
    <t xml:space="preserve">US investment-grade corporate bonds</t>
  </si>
  <si>
    <t xml:space="preserve">Bank, tech and utility investment-grade bonds</t>
  </si>
  <si>
    <t xml:space="preserve">SUSB</t>
  </si>
  <si>
    <t xml:space="preserve">iShares ESG Aware 1-5 Year USD Corporate Bond ETF</t>
  </si>
  <si>
    <t xml:space="preserve">Same, short duration</t>
  </si>
  <si>
    <t xml:space="preserve">Short-term investment-grade corporates</t>
  </si>
  <si>
    <t xml:space="preserve">Short investment-grade corporates</t>
  </si>
  <si>
    <t xml:space="preserve">NULC</t>
  </si>
  <si>
    <t xml:space="preserve">Nuveen ESG Large-Cap ETF</t>
  </si>
  <si>
    <t xml:space="preserve">Nuveen / TIAA</t>
  </si>
  <si>
    <t xml:space="preserve">TIAA/MSCI ESG leaders methodology; excludes controversial weapons, tobacco, etc.</t>
  </si>
  <si>
    <t xml:space="preserve">NVIDIA, Microsoft, Apple, Alphabet</t>
  </si>
  <si>
    <t xml:space="preserve">NULG</t>
  </si>
  <si>
    <t xml:space="preserve">Nuveen ESG Large-Cap Growth ETF</t>
  </si>
  <si>
    <t xml:space="preserve">Same, growth</t>
  </si>
  <si>
    <t xml:space="preserve">US large-cap growth</t>
  </si>
  <si>
    <t xml:space="preserve">NVIDIA, Microsoft, Tesla, Visa</t>
  </si>
  <si>
    <t xml:space="preserve">NULV</t>
  </si>
  <si>
    <t xml:space="preserve">Nuveen ESG Large-Cap Value ETF</t>
  </si>
  <si>
    <t xml:space="preserve">Same, value</t>
  </si>
  <si>
    <t xml:space="preserve">JPMorgan, Procter &amp; Gamble, Verizon</t>
  </si>
  <si>
    <t xml:space="preserve">NUMG</t>
  </si>
  <si>
    <t xml:space="preserve">Nuveen ESG Mid-Cap Growth ETF</t>
  </si>
  <si>
    <t xml:space="preserve">Same, mid growth</t>
  </si>
  <si>
    <t xml:space="preserve">US mid-cap growth</t>
  </si>
  <si>
    <t xml:space="preserve">NUMV</t>
  </si>
  <si>
    <t xml:space="preserve">Nuveen ESG Mid-Cap Value ETF</t>
  </si>
  <si>
    <t xml:space="preserve">Same, mid value</t>
  </si>
  <si>
    <t xml:space="preserve">US mid-cap value</t>
  </si>
  <si>
    <t xml:space="preserve">NUSC</t>
  </si>
  <si>
    <t xml:space="preserve">Nuveen ESG Small-Cap ETF</t>
  </si>
  <si>
    <t xml:space="preserve">Same, small-cap</t>
  </si>
  <si>
    <t xml:space="preserve">NUDM</t>
  </si>
  <si>
    <t xml:space="preserve">Nuveen ESG International Developed Markets Equity ETF</t>
  </si>
  <si>
    <t xml:space="preserve">ASML, Novartis, Sony</t>
  </si>
  <si>
    <t xml:space="preserve">NUEM</t>
  </si>
  <si>
    <t xml:space="preserve">Nuveen ESG Emerging Markets Equity ETF</t>
  </si>
  <si>
    <t xml:space="preserve">TSMC, Tencent, Infosys</t>
  </si>
  <si>
    <t xml:space="preserve">NUBD</t>
  </si>
  <si>
    <t xml:space="preserve">Nuveen ESG U.S. Aggregate Bond ETF</t>
  </si>
  <si>
    <t xml:space="preserve">ESG-screened Bloomberg Aggregate</t>
  </si>
  <si>
    <t xml:space="preserve">NUSA</t>
  </si>
  <si>
    <t xml:space="preserve">Nuveen ESG 1-5 Year U.S. Aggregate Bond ETF</t>
  </si>
  <si>
    <t xml:space="preserve">Short-term US bonds</t>
  </si>
  <si>
    <t xml:space="preserve">Treasuries, agencies, short investment-grade corporates</t>
  </si>
  <si>
    <t xml:space="preserve">NUHY</t>
  </si>
  <si>
    <t xml:space="preserve">Nuveen ESG High Yield Corporate Bond ETF</t>
  </si>
  <si>
    <t xml:space="preserve">ESG-screened high yield</t>
  </si>
  <si>
    <t xml:space="preserve">US high-yield bonds</t>
  </si>
  <si>
    <t xml:space="preserve">BB/B corporates</t>
  </si>
  <si>
    <t xml:space="preserve">EMNT</t>
  </si>
  <si>
    <t xml:space="preserve">PIMCO Enhanced Short Maturity Active ESG ETF</t>
  </si>
  <si>
    <t xml:space="preserve">PIMCO / Allianz</t>
  </si>
  <si>
    <t xml:space="preserve">Active cash-plus strategy with ESG exclusions and engagement</t>
  </si>
  <si>
    <t xml:space="preserve">Ultra-short bonds</t>
  </si>
  <si>
    <t xml:space="preserve">Commercial paper, short corporates, ABS</t>
  </si>
  <si>
    <t xml:space="preserve">RAFE</t>
  </si>
  <si>
    <t xml:space="preserve">PIMCO RAFI ESG U.S. ETF</t>
  </si>
  <si>
    <t xml:space="preserve">PIMCO / Allianz (index: Research Affiliates)</t>
  </si>
  <si>
    <t xml:space="preserve">Fundamental weighting with ESG screens</t>
  </si>
  <si>
    <t xml:space="preserve">US large-cap value-tilted equity</t>
  </si>
  <si>
    <t xml:space="preserve">Apple, Microsoft, JPMorgan, Johnson &amp; Johnson</t>
  </si>
  <si>
    <t xml:space="preserve">EFIV</t>
  </si>
  <si>
    <t xml:space="preserve">State Street SPDR S&amp;P 500 ESG ETF</t>
  </si>
  <si>
    <t xml:space="preserve">S&amp;P 500 ESG index: excludes bottom-quartile ESG scores, tobacco, controversial weapons, thermal coal</t>
  </si>
  <si>
    <t xml:space="preserve">Apple, Microsoft, NVIDIA, Alphabet</t>
  </si>
  <si>
    <t xml:space="preserve">SHE</t>
  </si>
  <si>
    <t xml:space="preserve">State Street SPDR MSCI USA Gender Diversity ETF</t>
  </si>
  <si>
    <t xml:space="preserve">Selects companies leading in gender diversity of board and management</t>
  </si>
  <si>
    <t xml:space="preserve">Diversified large caps</t>
  </si>
  <si>
    <t xml:space="preserve">Light (single-issue social)</t>
  </si>
  <si>
    <t xml:space="preserve">ESGV</t>
  </si>
  <si>
    <t xml:space="preserve">Vanguard ESG U.S. Stock ETF</t>
  </si>
  <si>
    <t xml:space="preserve">Vanguard</t>
  </si>
  <si>
    <t xml:space="preserve">FTSE exclusion screen (fossil fuels, weapons, tobacco, alcohol, gambling, adult entertainment, nuclear)</t>
  </si>
  <si>
    <t xml:space="preserve">US total market</t>
  </si>
  <si>
    <t xml:space="preserve">Moderate (exclusion-based)</t>
  </si>
  <si>
    <t xml:space="preserve">VSGX</t>
  </si>
  <si>
    <t xml:space="preserve">Vanguard ESG International Stock ETF</t>
  </si>
  <si>
    <t xml:space="preserve">Same FTSE exclusions, ex-US</t>
  </si>
  <si>
    <t xml:space="preserve">International developed + EM</t>
  </si>
  <si>
    <t xml:space="preserve">TSMC, ASML, Novo Nordisk, Tencent</t>
  </si>
  <si>
    <t xml:space="preserve">VCEB</t>
  </si>
  <si>
    <t xml:space="preserve">Vanguard ESG U.S. Corporate Bond ETF</t>
  </si>
  <si>
    <t xml:space="preserve">Same exclusions, investment-grade corporates</t>
  </si>
  <si>
    <t xml:space="preserve">Bank, tech and healthcare investment-grade bonds</t>
  </si>
  <si>
    <t xml:space="preserve">USSG</t>
  </si>
  <si>
    <t xml:space="preserve">Xtrackers MSCI USA Selection Equity ETF</t>
  </si>
  <si>
    <t xml:space="preserve">DWS / Deutsche Bank</t>
  </si>
  <si>
    <t xml:space="preserve">MSCI ESG selection (top-ranked ESG within sectors, ~50% of the market)</t>
  </si>
  <si>
    <t xml:space="preserve">SNPE</t>
  </si>
  <si>
    <t xml:space="preserve">Xtrackers S&amp;P 500 Scored &amp; Screened ETF</t>
  </si>
  <si>
    <t xml:space="preserve">S&amp;P 500 Scored &amp; Screened index</t>
  </si>
  <si>
    <t xml:space="preserve">Apple, Microsoft, NVIDIA</t>
  </si>
  <si>
    <t xml:space="preserve">USCA</t>
  </si>
  <si>
    <t xml:space="preserve">Xtrackers MSCI USA Climate Action Equity ETF</t>
  </si>
  <si>
    <t xml:space="preserve">Companies with credible decarbonization targets / transition leaders</t>
  </si>
  <si>
    <t xml:space="preserve">Light (climate)</t>
  </si>
  <si>
    <t xml:space="preserve">EASG</t>
  </si>
  <si>
    <t xml:space="preserve">Xtrackers MSCI EAFE Selection Equity ETF</t>
  </si>
  <si>
    <t xml:space="preserve">MSCI ESG selection, developed ex-US</t>
  </si>
  <si>
    <t xml:space="preserve">ASML, Novo Nordisk, Nestlé</t>
  </si>
  <si>
    <t xml:space="preserve">EMCR</t>
  </si>
  <si>
    <t xml:space="preserve">Xtrackers EM Carbon Reduction &amp; Climate Improvers ETF</t>
  </si>
  <si>
    <t xml:space="preserve">EM index with carbon-reduction targets</t>
  </si>
  <si>
    <t xml:space="preserve">EMCS</t>
  </si>
  <si>
    <t xml:space="preserve">Xtrackers MSCI Emerging Markets Select ETF</t>
  </si>
  <si>
    <t xml:space="preserve">MSCI ESG selection, EM</t>
  </si>
  <si>
    <t xml:space="preserve">TSMC, Tencent, HDFC Bank</t>
  </si>
  <si>
    <t xml:space="preserve">Thematic and sector funds</t>
  </si>
  <si>
    <t xml:space="preserve">FAN</t>
  </si>
  <si>
    <t xml:space="preserve">First Trust Global Wind Energy ETF</t>
  </si>
  <si>
    <t xml:space="preserve">First Trust</t>
  </si>
  <si>
    <t xml:space="preserve">Wind energy</t>
  </si>
  <si>
    <t xml:space="preserve">Vestas, Ørsted, Northland Power, NextEra</t>
  </si>
  <si>
    <t xml:space="preserve">O, T</t>
  </si>
  <si>
    <t xml:space="preserve">Thematic</t>
  </si>
  <si>
    <t xml:space="preserve">CARZ</t>
  </si>
  <si>
    <t xml:space="preserve">First Trust S-Network Future Vehicles &amp; Technology ETF</t>
  </si>
  <si>
    <t xml:space="preserve">Vehicles &amp; enabling tech</t>
  </si>
  <si>
    <t xml:space="preserve">Tesla, Toyota, NVIDIA, Apple</t>
  </si>
  <si>
    <t xml:space="preserve">O, T. Includes conventional automakers and big tech</t>
  </si>
  <si>
    <t xml:space="preserve">QCLN</t>
  </si>
  <si>
    <t xml:space="preserve">First Trust NASDAQ Clean Edge Green Energy ETF</t>
  </si>
  <si>
    <t xml:space="preserve">Clean energy</t>
  </si>
  <si>
    <t xml:space="preserve">Tesla, First Solar, ON Semiconductor, Albemarle</t>
  </si>
  <si>
    <t xml:space="preserve">FIW</t>
  </si>
  <si>
    <t xml:space="preserve">First Trust Water ETF</t>
  </si>
  <si>
    <t xml:space="preserve">Water utilities &amp; equipment</t>
  </si>
  <si>
    <t xml:space="preserve">American Water Works, Xylem, Ecolab, Roper</t>
  </si>
  <si>
    <t xml:space="preserve">GRID</t>
  </si>
  <si>
    <t xml:space="preserve">First Trust NASDAQ Clean Edge Smart Grid Infrastructure ETF</t>
  </si>
  <si>
    <t xml:space="preserve">Grid &amp; electrification</t>
  </si>
  <si>
    <t xml:space="preserve">ABB, Schneider Electric, Eaton, Quanta</t>
  </si>
  <si>
    <t xml:space="preserve">CTEC</t>
  </si>
  <si>
    <t xml:space="preserve">Global X CleanTech / ClimateTech ETF</t>
  </si>
  <si>
    <t xml:space="preserve">Global X / Mirae Asset</t>
  </si>
  <si>
    <t xml:space="preserve">Climate technology</t>
  </si>
  <si>
    <t xml:space="preserve">Solar, battery and EV component makers</t>
  </si>
  <si>
    <t xml:space="preserve">RNRG</t>
  </si>
  <si>
    <t xml:space="preserve">Global X Renewable Energy Producers ETF</t>
  </si>
  <si>
    <t xml:space="preserve">Renewable yieldcos and utilities</t>
  </si>
  <si>
    <t xml:space="preserve">Brookfield Renewable, Ørsted, Clearway</t>
  </si>
  <si>
    <t xml:space="preserve">DRIV</t>
  </si>
  <si>
    <t xml:space="preserve">Global X Autonomous &amp; Electric Vehicles ETF</t>
  </si>
  <si>
    <t xml:space="preserve">EV/autonomy</t>
  </si>
  <si>
    <t xml:space="preserve">NVIDIA, Toyota, Tesla, Alphabet</t>
  </si>
  <si>
    <t xml:space="preserve">O, T. Includes conventional automakers</t>
  </si>
  <si>
    <t xml:space="preserve">AQWA</t>
  </si>
  <si>
    <t xml:space="preserve">Global X Clean Water ETF</t>
  </si>
  <si>
    <t xml:space="preserve">Water</t>
  </si>
  <si>
    <t xml:space="preserve">American Water Works, Xylem, Ecolab</t>
  </si>
  <si>
    <t xml:space="preserve">HYDR</t>
  </si>
  <si>
    <t xml:space="preserve">Global X Hydrogen ETF</t>
  </si>
  <si>
    <t xml:space="preserve">Hydrogen</t>
  </si>
  <si>
    <t xml:space="preserve">Plug Power, Bloom Energy, Ballard, industrial gases</t>
  </si>
  <si>
    <t xml:space="preserve">O, T. Much hydrogen is fossil-derived</t>
  </si>
  <si>
    <t xml:space="preserve">PBW</t>
  </si>
  <si>
    <t xml:space="preserve">Invesco WilderHill Clean Energy ETF</t>
  </si>
  <si>
    <t xml:space="preserve">Clean energy (equal weight, small-cap)</t>
  </si>
  <si>
    <t xml:space="preserve">Small-cap solar, battery and EV names</t>
  </si>
  <si>
    <t xml:space="preserve">PBD</t>
  </si>
  <si>
    <t xml:space="preserve">Invesco Global Clean Energy ETF</t>
  </si>
  <si>
    <t xml:space="preserve">Global clean energy</t>
  </si>
  <si>
    <t xml:space="preserve">Global renewable and equipment makers</t>
  </si>
  <si>
    <t xml:space="preserve">PHO</t>
  </si>
  <si>
    <t xml:space="preserve">Invesco Water Resources ETF</t>
  </si>
  <si>
    <t xml:space="preserve">Ecolab, Xylem, Roper, Waters</t>
  </si>
  <si>
    <t xml:space="preserve">PIO</t>
  </si>
  <si>
    <t xml:space="preserve">Invesco Global Water ETF</t>
  </si>
  <si>
    <t xml:space="preserve">Global water</t>
  </si>
  <si>
    <t xml:space="preserve">Geberit, Xylem, Ecolab</t>
  </si>
  <si>
    <t xml:space="preserve">TAN</t>
  </si>
  <si>
    <t xml:space="preserve">Invesco Solar ETF</t>
  </si>
  <si>
    <t xml:space="preserve">Solar</t>
  </si>
  <si>
    <t xml:space="preserve">First Solar, Enphase, Nextracker</t>
  </si>
  <si>
    <t xml:space="preserve">O, T. Very concentrated and volatile</t>
  </si>
  <si>
    <t xml:space="preserve">ERTH</t>
  </si>
  <si>
    <t xml:space="preserve">Invesco MSCI Sustainable Future ETF</t>
  </si>
  <si>
    <t xml:space="preserve">Sustainable themes (renewables, green buildings, EV, water)</t>
  </si>
  <si>
    <t xml:space="preserve">Tesla, Vestas, NextEra</t>
  </si>
  <si>
    <t xml:space="preserve">ICLN</t>
  </si>
  <si>
    <t xml:space="preserve">iShares Global Clean Energy ETF</t>
  </si>
  <si>
    <t xml:space="preserve">First Solar, Iberdrola, Vestas, Enphase</t>
  </si>
  <si>
    <t xml:space="preserve">IDRV</t>
  </si>
  <si>
    <t xml:space="preserve">iShares Self-Driving EV and Tech ETF</t>
  </si>
  <si>
    <t xml:space="preserve">Tesla, Toyota, NVIDIA</t>
  </si>
  <si>
    <t xml:space="preserve">NBET</t>
  </si>
  <si>
    <t xml:space="preserve">Neuberger Energy Transition &amp; Infrastructure ETF</t>
  </si>
  <si>
    <t xml:space="preserve">Neuberger Berman</t>
  </si>
  <si>
    <t xml:space="preserve">Energy transition &amp; infrastructure</t>
  </si>
  <si>
    <t xml:space="preserve">Includes midstream oil &amp; gas pipelines</t>
  </si>
  <si>
    <t xml:space="preserve">O, T. Fossil infrastructure conflicts with client's philosophy</t>
  </si>
  <si>
    <t xml:space="preserve">CNRG</t>
  </si>
  <si>
    <t xml:space="preserve">State Street SPDR S&amp;P Kensho Clean Power ETF</t>
  </si>
  <si>
    <t xml:space="preserve">Clean power innovation</t>
  </si>
  <si>
    <t xml:space="preserve">Solar, wind and storage names</t>
  </si>
  <si>
    <t xml:space="preserve">Reason codes: O = large diversified sponsor; I = ESG integration/screen on a conventional strategy; T = thematic, not an ESG mandate.</t>
  </si>
  <si>
    <t xml:space="preserve">4. Sources and Outstanding Questions</t>
  </si>
  <si>
    <t xml:space="preserve">OWNS / CCM</t>
  </si>
  <si>
    <t xml:space="preserve">- SEC 485BPOS, Quaker Investment Trust (Oct 2024): https://www.sec.gov/Archives/edgar/data/870355/000139834424019555/fp0090732-1_485bposixbrl.htm</t>
  </si>
  <si>
    <t xml:space="preserve">- CCM fund page (could not be reached during research; verify directly): https://www.ccmfixedincome.com/strategies/ccm-community-impact-bond-fund/affordable-housing-mbs-etf-owns/</t>
  </si>
  <si>
    <t xml:space="preserve">- ETF Strategy, launch: https://www.etfstrategy.com/impact-shares-unveils-affordable-housing-mbs-etf-owns-nyse-arca-98547</t>
  </si>
  <si>
    <t xml:space="preserve">- Environmental Finance Sustainable Investment Awards 2026: https://www.environmental-finance.com/content/awards/sustainable-investment-awards-2026/winners/fixed-income-fund-of-the-year-americas-ccm-community-impact-bond.html</t>
  </si>
  <si>
    <t xml:space="preserve">- Green America profile of CCM: https://greenamerica.org/node/1672</t>
  </si>
  <si>
    <t xml:space="preserve">- Holdings snapshot (MarketXLS): https://marketxls.com/etfs/owns/holdings</t>
  </si>
  <si>
    <t xml:space="preserve">PRXG / PRXV / Praxis / Everence</t>
  </si>
  <si>
    <t xml:space="preserve">- Business Wire, ETF launch (Apr 7, 2025): https://www.businesswire.com/news/home/20250407095788/en/</t>
  </si>
  <si>
    <t xml:space="preserve">- Praxis registration announcement: https://praxismutualfunds.com/news-and-stories/corporate/2024/praxis-files-registration-statement-for-prxg-and-prxv</t>
  </si>
  <si>
    <t xml:space="preserve">- Everence, fraternal benefit society structure: https://www.everence.com/about-everence/what-is-a-fraternal-benefit-society</t>
  </si>
  <si>
    <t xml:space="preserve">- Everence Annual Report 2024: https://www.everence.com/about-everence/annual-report-2024</t>
  </si>
  <si>
    <t xml:space="preserve">- Holdings snapshots: https://www.morningstar.com/etfs/arcx/prxv/quote · https://stockanalysis.com/etf/prxv</t>
  </si>
  <si>
    <t xml:space="preserve">VGSR / Vert</t>
  </si>
  <si>
    <t xml:space="preserve">- SEC N-CSRS, Manager Directed Portfolios (Dec 2024): https://www.sec.gov/Archives/edgar/data/1359057/000113322825002360/Financial_Report.xlsx</t>
  </si>
  <si>
    <t xml:space="preserve">- UN PRI case study by Vert: https://public.unpri.org/a-strategy-for-investing-in-sustainable-reits-/4388.article</t>
  </si>
  <si>
    <t xml:space="preserve">- B Lab directory: https://www.bcorporation.net/en-us/find-a-b-corp/company/vert-asset-management</t>
  </si>
  <si>
    <t xml:space="preserve">- IREI launch article: https://irei.com/news/vert-asset-management-launches-sustainable-real-estate-mutual-fund-u-s/</t>
  </si>
  <si>
    <t xml:space="preserve">CHGX / Stance</t>
  </si>
  <si>
    <t xml:space="preserve">- Summary prospectus: https://etfarchitect.com/wp-content/uploads/compliance/etf/summary_prospectus/CHGX_Summary_Prospectus.pdf</t>
  </si>
  <si>
    <t xml:space="preserve">- SEC N-14 (reorganization into EA Series Trust): https://www.sec.gov/Archives/edgar/data/1592900/000159290025000039/stancen-14a.htm</t>
  </si>
  <si>
    <t xml:space="preserve">- Nasdaq Trader notice DTN2025-11: https://www.nasdaqtrader.com/TraderNews.aspx?id=DTN2025-11</t>
  </si>
  <si>
    <t xml:space="preserve">- Hennessy / Stance 2022 transaction (SEC): https://www.sec.gov/Archives/edgar/data/1145255/000119312522234097/d387649dex991.htm</t>
  </si>
  <si>
    <t xml:space="preserve">ETHO / Amplify / Etho Capital</t>
  </si>
  <si>
    <t xml:space="preserve">- Amplify ETHO fund page: https://amplifyetfs.com/etho/</t>
  </si>
  <si>
    <t xml:space="preserve">- Amplify ETF Trust SEC filings: https://www.sec.gov/Archives/edgar/data/1633061/000121390023080956/ea162406_497.htm</t>
  </si>
  <si>
    <t xml:space="preserve">OACP / OneAscent</t>
  </si>
  <si>
    <t xml:space="preserve">- OneAscent fund page: https://investments.oneascent.com/oacp</t>
  </si>
  <si>
    <t xml:space="preserve">- About OneAscent: https://investments.oneascent.com/about</t>
  </si>
  <si>
    <t xml:space="preserve">- Holdings snapshot: https://marketxls.com/etfs/oacp/holdings</t>
  </si>
  <si>
    <t xml:space="preserve">CVSB / Calvert</t>
  </si>
  <si>
    <t xml:space="preserve">- Morgan Stanley IM fund profile: https://morganstanley.com/im/publication/etf/fundprofile_etf_calvertultrashortinvestmentgrade_us.pdf</t>
  </si>
  <si>
    <t xml:space="preserve">Tier 2–3 and excluded funds (Sections 2a–2b): fees, status and methodology</t>
  </si>
  <si>
    <t xml:space="preserve">- iShares sustainable bond brief (EAGG, BGRN fees): https://ishares.com/us/literature/product-brief/ishares-sustainable-bond-etf-brief.pdf</t>
  </si>
  <si>
    <t xml:space="preserve">- iShares LDEM fact sheet: https://www.ishares.com/us/literature/fact-sheet/ldem-ishares-esg-msci-em-leaders-etf-fund-fact-sheet-en-us.pdf</t>
  </si>
  <si>
    <t xml:space="preserve">- etf.com, differences among iShares ESG ETFs (ESG Advanced fees/exclusions): https://www.etf.com/node/71490.md</t>
  </si>
  <si>
    <t xml:space="preserve">- FA Magazine, iShares ESG Advanced launch (USXF/DMXF exclusions): https://fa-mag.com/news/ishares-debuts-half-dozen-esg-etfs-56395.html</t>
  </si>
  <si>
    <t xml:space="preserve">- iShares 2026 liquidation supplement (none of the listed funds affected): https://www.sec.gov/Archives/edgar/data/0001100663/000119312526354177/d153282d497.htm</t>
  </si>
  <si>
    <t xml:space="preserve">- Franklin Templeton 2026 Putnam ETF liquidation (FLMB not included): https://www.franklintempleton.com/press-releases/news-room/2026/franklin-templeton-announces-plan-to-liquidate-putnam-etfs</t>
  </si>
  <si>
    <t xml:space="preserve">- Invesco Dec 2025 liquidation supplement (none of the listed funds affected): https://www.sec.gov/Archives/edgar/data/1378872/000119312525326792/d48091d497.htm</t>
  </si>
  <si>
    <t xml:space="preserve">- Invesco KLMT N-PORT, July 2026: https://www.sec.gov/Archives/edgar/data/0001378872/000137887226001618/edgar.htm</t>
  </si>
  <si>
    <t xml:space="preserve">- Nuveen 2026 ESG ETF fee cuts: https://www.thewealthadvisor.com/article/nuveen-cuts-fees-43-billion-etfs-launches-two-new-funds</t>
  </si>
  <si>
    <t xml:space="preserve">- Fee comparisons (ETF Central): https://www.etfcentral.com/compare-etfs/AVSU-vs-DFSU · https://www.etfcentral.com/compare-etfs/AVSD-vs-DFSI · https://www.etfcentral.com/compare-etfs/SNPE-vs-USSG · https://www.etfcentral.com/compare-etfs/USSG-vs-USCA · https://www.etfcentral.com/compare-etfs/LDEM-vs-ESGE · https://www.etfcentral.com/compare-etfs/SUSA-vs-DSI · https://www.etfcentral.com/compare-etfs/XVV-vs-SUSL · https://www.etfcentral.com/compare-etfs/SUSB-vs-SUSC</t>
  </si>
  <si>
    <t xml:space="preserve">- Vanguard VSGX profile: https://investor.vanguard.com/investment-products/mutual-funds/profile/VSGX</t>
  </si>
  <si>
    <t xml:space="preserve">- IQSU/IQSI: https://stockanalysis.com/stocks/IQSU · https://www.trackinsight.com/en/fund/IQSI</t>
  </si>
  <si>
    <t xml:space="preserve">- Seeking Alpha expense pages (XJH, XJR, NULC, NULG, NULV, SNPE): https://seekingalpha.com/symbol/XJH/expenses · https://seekingalpha.com/symbol/XJR/expenses · https://seekingalpha.com/symbol/NULC/expenses</t>
  </si>
  <si>
    <t xml:space="preserve">Outstanding questions to resolve before recommending</t>
  </si>
  <si>
    <t xml:space="preserve">For the client (policy decisions)</t>
  </si>
  <si>
    <t xml:space="preserve">1. Large parents outside the exclusion list. Calvert (Morgan Stanley), Candriam (New York Life), TCW, VanEck and ALPS (SS&amp;C) are included because they were not among the excluded sponsors. Confirm the client is comfortable with each parent before presenting CVSB, IQSU/IQSI or GRNB.</t>
  </si>
  <si>
    <t xml:space="preserve">2. Outsourced implementation. Is it acceptable that a conventional firm (Dimensional for VGSR) handles day-to-day portfolio implementation while an ESG-dedicated firm sets the strategy?</t>
  </si>
  <si>
    <t xml:space="preserve">3. Faith-based mandates. Praxis (and OneAscent, if it passes) apply religious-values screens alongside ESG. Is the client comfortable with that framing?</t>
  </si>
  <si>
    <t xml:space="preserve">4. Portfolio gaps. No included fund offers ESG-screened emerging-market equity. Should the client go without EM exposure, or look beyond the attached list?</t>
  </si>
  <si>
    <t xml:space="preserve">5. Thematic funds. Should Tier 3 funds be allowed at all? Several (BATT, KARS, KRBN) conflict with a strict ESG philosophy.</t>
  </si>
  <si>
    <t xml:space="preserve">For the fund sponsors (fact verification)</t>
  </si>
  <si>
    <t xml:space="preserve">5. OWNS: Confirm the 0.30% fee waiver has been extended past its last stated term. Confirm CCM's current ownership on Form ADV. Confirm whether the predecessor sponsor's (Impact Shares) "net profits to nonprofits" model still applies.</t>
  </si>
  <si>
    <t xml:space="preserve">6. PRXG / PRXV: Get Praxis's full exclusion list (fossil fuels? weapons? predatory lending?) and its proxy-voting/advocacy record. Value-fund weights in large banks and pharma should be checked against the client's priorities.</t>
  </si>
  <si>
    <t xml:space="preserve">7. VGSR: Confirm the current net expense ratio (0.45% vs 0.51%) and Vert's ownership on Form ADV.</t>
  </si>
  <si>
    <t xml:space="preserve">8. CHGX: Confirm the index methodology after the 2025 transition and how much Change Finance is still involved. Confirm Stance Capital's ownership and that its business remains centered on ESG.</t>
  </si>
  <si>
    <t xml:space="preserve">9. ETHO: Confirm Etho Capital's ownership and role. Decide whether a sponsor that is not ESG-dedicated (Amplify) is acceptable when the index is.</t>
  </si>
  <si>
    <t xml:space="preserve">10. OACP: Name the sub-adviser. Get the full screening criteria. Confirm whether values/impact is the primary objective or "special consideration."</t>
  </si>
  <si>
    <t xml:space="preserve">11. All funds: Re-pull current holdings, AUM, trading volume/spreads and expense ratios from official prospectuses and fact sheets on the presentation date. Several sponsor sites were unreachable during this research, and some figures above come from third-party data that disagree with each other.</t>
  </si>
  <si>
    <t xml:space="preserve">What this report does not claim</t>
  </si>
  <si>
    <t xml:space="preserve">- None of these funds is "perfectly" ESG-aligned. Each holds companies that some ESG investors would challenge (for example, large banks in PRXV and semiconductor manufacturers in CHGX).</t>
  </si>
  <si>
    <t xml:space="preserve">- ESG ratings were not used as evidence of eligibility.</t>
  </si>
  <si>
    <t xml:space="preserve">- Sponsor ownership for excluded funds reflects well-documented corporate structures. Fees not marked ✓ in Sections 2a–2b are last-known figures, and Tier 3 and excluded-fund holdings are representative, not live. Re-verify every included Tier 2–3 fund before it is presented.</t>
  </si>
</sst>
</file>

<file path=xl/styles.xml><?xml version="1.0" encoding="utf-8"?>
<styleSheet xmlns="http://schemas.openxmlformats.org/spreadsheetml/2006/main">
  <numFmts count="2">
    <numFmt numFmtId="164" formatCode="General"/>
    <numFmt numFmtId="165" formatCode="0.00%"/>
  </numFmts>
  <fonts count="13">
    <font>
      <sz val="11"/>
      <color theme="1"/>
      <name val="Calibri"/>
      <family val="2"/>
      <charset val="1"/>
    </font>
    <font>
      <sz val="10"/>
      <name val="Arial"/>
      <family val="0"/>
    </font>
    <font>
      <sz val="10"/>
      <name val="Arial"/>
      <family val="0"/>
    </font>
    <font>
      <sz val="10"/>
      <name val="Arial"/>
      <family val="0"/>
    </font>
    <font>
      <b val="true"/>
      <sz val="14"/>
      <color rgb="FF1F4E3D"/>
      <name val="Arial"/>
      <family val="0"/>
      <charset val="1"/>
    </font>
    <font>
      <i val="true"/>
      <sz val="10"/>
      <name val="Arial"/>
      <family val="0"/>
      <charset val="1"/>
    </font>
    <font>
      <b val="true"/>
      <sz val="11"/>
      <color rgb="FFFFFFFF"/>
      <name val="Arial"/>
      <family val="0"/>
      <charset val="1"/>
    </font>
    <font>
      <sz val="10"/>
      <name val="Arial"/>
      <family val="0"/>
      <charset val="1"/>
    </font>
    <font>
      <b val="true"/>
      <sz val="11"/>
      <name val="Arial"/>
      <family val="0"/>
      <charset val="1"/>
    </font>
    <font>
      <b val="true"/>
      <sz val="12"/>
      <color rgb="FF1F4E3D"/>
      <name val="Arial"/>
      <family val="0"/>
      <charset val="1"/>
    </font>
    <font>
      <i val="true"/>
      <sz val="9"/>
      <name val="Arial"/>
      <family val="0"/>
      <charset val="1"/>
    </font>
    <font>
      <b val="true"/>
      <sz val="10"/>
      <name val="Arial"/>
      <family val="0"/>
      <charset val="1"/>
    </font>
    <font>
      <u val="single"/>
      <sz val="10"/>
      <color rgb="FF0563C1"/>
      <name val="Arial"/>
      <family val="0"/>
      <charset val="1"/>
    </font>
  </fonts>
  <fills count="3">
    <fill>
      <patternFill patternType="none"/>
    </fill>
    <fill>
      <patternFill patternType="gray125"/>
    </fill>
    <fill>
      <patternFill patternType="solid">
        <fgColor rgb="FF1F4E3D"/>
        <bgColor rgb="FF00336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4E3D"/>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FFFFFF"/>
          <bgColor rgb="FF000000"/>
        </patternFill>
      </fill>
    </dxf>
    <dxf>
      <fill>
        <patternFill patternType="solid">
          <bgColor rgb="FF000000"/>
        </patternFill>
      </fill>
    </dxf>
    <dxf>
      <fill>
        <patternFill>
          <bgColor rgb="FFE2EFDA"/>
        </patternFill>
      </fill>
    </dxf>
    <dxf>
      <fill>
        <patternFill>
          <bgColor rgb="FFFFF2CC"/>
        </patternFill>
      </fill>
    </dxf>
    <dxf>
      <fill>
        <patternFill>
          <bgColor rgb="FFFCE4D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ables/table1.xml><?xml version="1.0" encoding="utf-8"?>
<table xmlns="http://schemas.openxmlformats.org/spreadsheetml/2006/main" id="1" name="Excluded_Funds" displayName="Excluded_Funds" ref="A1:L85" headerRowCount="1" totalsRowCount="0" totalsRowShown="0">
  <autoFilter ref="A1:L85"/>
  <tableColumns count="12">
    <tableColumn id="1" name="Group"/>
    <tableColumn id="2" name="Ticker"/>
    <tableColumn id="3" name="Fund Name"/>
    <tableColumn id="4" name="Manager / Parent"/>
    <tableColumn id="5" name="ESG Approach / Theme"/>
    <tableColumn id="6" name="Investment Focus"/>
    <tableColumn id="7" name="Representative Holdings"/>
    <tableColumn id="8" name="Expense Ratio"/>
    <tableColumn id="9" name="Fee Verified"/>
    <tableColumn id="10" name="Expense Ratio Note"/>
    <tableColumn id="11" name="Why Excluded / Assessment"/>
    <tableColumn id="12" name="Mandate Strength"/>
  </tableColumns>
</table>
</file>

<file path=xl/tables/table2.xml><?xml version="1.0" encoding="utf-8"?>
<table xmlns="http://schemas.openxmlformats.org/spreadsheetml/2006/main" id="2" name="Included_Funds" displayName="Included_Funds" ref="A1:M22" headerRowCount="1" totalsRowCount="0" totalsRowShown="0">
  <autoFilter ref="A1:M22"/>
  <tableColumns count="13">
    <tableColumn id="1" name="Tier"/>
    <tableColumn id="2" name="Ticker"/>
    <tableColumn id="3" name="Fund Name"/>
    <tableColumn id="4" name="Manager / Parent"/>
    <tableColumn id="5" name="ESG Philosophy"/>
    <tableColumn id="6" name="Investment Focus"/>
    <tableColumn id="7" name="Major Holdings"/>
    <tableColumn id="8" name="Expense Ratio"/>
    <tableColumn id="9" name="Fee Verified"/>
    <tableColumn id="10" name="Expense Ratio Note"/>
    <tableColumn id="11" name="Assessment"/>
    <tableColumn id="12" name="Recommendation"/>
    <tableColumn id="13" name="Source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hyperlink" Target="https://www.sec.gov/Archives/edgar/data/870355/000139834424019555/fp0090732-1_485bposixbrl.htm" TargetMode="External"/><Relationship Id="rId2" Type="http://schemas.openxmlformats.org/officeDocument/2006/relationships/hyperlink" Target="https://www.ccmfixedincome.com/strategies/ccm-community-impact-bond-fund/affordable-housing-mbs-etf-owns/" TargetMode="External"/><Relationship Id="rId3" Type="http://schemas.openxmlformats.org/officeDocument/2006/relationships/hyperlink" Target="https://www.etfstrategy.com/impact-shares-unveils-affordable-housing-mbs-etf-owns-nyse-arca-98547" TargetMode="External"/><Relationship Id="rId4" Type="http://schemas.openxmlformats.org/officeDocument/2006/relationships/hyperlink" Target="https://www.environmental-finance.com/content/awards/sustainable-investment-awards-2026/winners/fixed-income-fund-of-the-year-americas-ccm-community-impact-bond.html" TargetMode="External"/><Relationship Id="rId5" Type="http://schemas.openxmlformats.org/officeDocument/2006/relationships/hyperlink" Target="https://greenamerica.org/node/1672" TargetMode="External"/><Relationship Id="rId6" Type="http://schemas.openxmlformats.org/officeDocument/2006/relationships/hyperlink" Target="https://marketxls.com/etfs/owns/holdings" TargetMode="External"/><Relationship Id="rId7" Type="http://schemas.openxmlformats.org/officeDocument/2006/relationships/hyperlink" Target="https://www.businesswire.com/news/home/20250407095788/en/" TargetMode="External"/><Relationship Id="rId8" Type="http://schemas.openxmlformats.org/officeDocument/2006/relationships/hyperlink" Target="https://praxismutualfunds.com/news-and-stories/corporate/2024/praxis-files-registration-statement-for-prxg-and-prxv" TargetMode="External"/><Relationship Id="rId9" Type="http://schemas.openxmlformats.org/officeDocument/2006/relationships/hyperlink" Target="https://www.everence.com/about-everence/what-is-a-fraternal-benefit-society" TargetMode="External"/><Relationship Id="rId10" Type="http://schemas.openxmlformats.org/officeDocument/2006/relationships/hyperlink" Target="https://www.everence.com/about-everence/annual-report-2024" TargetMode="External"/><Relationship Id="rId11" Type="http://schemas.openxmlformats.org/officeDocument/2006/relationships/hyperlink" Target="https://www.sec.gov/Archives/edgar/data/1359057/000113322825002360/Financial_Report.xlsx" TargetMode="External"/><Relationship Id="rId12" Type="http://schemas.openxmlformats.org/officeDocument/2006/relationships/hyperlink" Target="https://public.unpri.org/a-strategy-for-investing-in-sustainable-reits-/4388.article" TargetMode="External"/><Relationship Id="rId13" Type="http://schemas.openxmlformats.org/officeDocument/2006/relationships/hyperlink" Target="https://www.bcorporation.net/en-us/find-a-b-corp/company/vert-asset-management" TargetMode="External"/><Relationship Id="rId14" Type="http://schemas.openxmlformats.org/officeDocument/2006/relationships/hyperlink" Target="https://irei.com/news/vert-asset-management-launches-sustainable-real-estate-mutual-fund-u-s/" TargetMode="External"/><Relationship Id="rId15" Type="http://schemas.openxmlformats.org/officeDocument/2006/relationships/hyperlink" Target="https://etfarchitect.com/wp-content/uploads/compliance/etf/summary_prospectus/CHGX_Summary_Prospectus.pdf" TargetMode="External"/><Relationship Id="rId16" Type="http://schemas.openxmlformats.org/officeDocument/2006/relationships/hyperlink" Target="https://www.sec.gov/Archives/edgar/data/1592900/000159290025000039/stancen-14a.htm" TargetMode="External"/><Relationship Id="rId17" Type="http://schemas.openxmlformats.org/officeDocument/2006/relationships/hyperlink" Target="https://www.nasdaqtrader.com/TraderNews.aspx?id=DTN2025-11" TargetMode="External"/><Relationship Id="rId18" Type="http://schemas.openxmlformats.org/officeDocument/2006/relationships/hyperlink" Target="https://www.sec.gov/Archives/edgar/data/1145255/000119312522234097/d387649dex991.htm" TargetMode="External"/><Relationship Id="rId19" Type="http://schemas.openxmlformats.org/officeDocument/2006/relationships/hyperlink" Target="https://amplifyetfs.com/etho/" TargetMode="External"/><Relationship Id="rId20" Type="http://schemas.openxmlformats.org/officeDocument/2006/relationships/hyperlink" Target="https://www.sec.gov/Archives/edgar/data/1633061/000121390023080956/ea162406_497.htm" TargetMode="External"/><Relationship Id="rId21" Type="http://schemas.openxmlformats.org/officeDocument/2006/relationships/hyperlink" Target="https://investments.oneascent.com/oacp" TargetMode="External"/><Relationship Id="rId22" Type="http://schemas.openxmlformats.org/officeDocument/2006/relationships/hyperlink" Target="https://investments.oneascent.com/about" TargetMode="External"/><Relationship Id="rId23" Type="http://schemas.openxmlformats.org/officeDocument/2006/relationships/hyperlink" Target="https://marketxls.com/etfs/oacp/holdings" TargetMode="External"/><Relationship Id="rId24" Type="http://schemas.openxmlformats.org/officeDocument/2006/relationships/hyperlink" Target="https://morganstanley.com/im/publication/etf/fundprofile_etf_calvertultrashortinvestmentgrade_us.pdf" TargetMode="External"/><Relationship Id="rId25" Type="http://schemas.openxmlformats.org/officeDocument/2006/relationships/hyperlink" Target="https://ishares.com/us/literature/product-brief/ishares-sustainable-bond-etf-brief.pdf" TargetMode="External"/><Relationship Id="rId26" Type="http://schemas.openxmlformats.org/officeDocument/2006/relationships/hyperlink" Target="https://www.ishares.com/us/literature/fact-sheet/ldem-ishares-esg-msci-em-leaders-etf-fund-fact-sheet-en-us.pdf" TargetMode="External"/><Relationship Id="rId27" Type="http://schemas.openxmlformats.org/officeDocument/2006/relationships/hyperlink" Target="https://www.etf.com/node/71490.md" TargetMode="External"/><Relationship Id="rId28" Type="http://schemas.openxmlformats.org/officeDocument/2006/relationships/hyperlink" Target="https://fa-mag.com/news/ishares-debuts-half-dozen-esg-etfs-56395.html" TargetMode="External"/><Relationship Id="rId29" Type="http://schemas.openxmlformats.org/officeDocument/2006/relationships/hyperlink" Target="https://www.sec.gov/Archives/edgar/data/0001100663/000119312526354177/d153282d497.htm" TargetMode="External"/><Relationship Id="rId30" Type="http://schemas.openxmlformats.org/officeDocument/2006/relationships/hyperlink" Target="https://www.franklintempleton.com/press-releases/news-room/2026/franklin-templeton-announces-plan-to-liquidate-putnam-etfs" TargetMode="External"/><Relationship Id="rId31" Type="http://schemas.openxmlformats.org/officeDocument/2006/relationships/hyperlink" Target="https://www.sec.gov/Archives/edgar/data/1378872/000119312525326792/d48091d497.htm" TargetMode="External"/><Relationship Id="rId32" Type="http://schemas.openxmlformats.org/officeDocument/2006/relationships/hyperlink" Target="https://www.sec.gov/Archives/edgar/data/0001378872/000137887226001618/edgar.htm" TargetMode="External"/><Relationship Id="rId33" Type="http://schemas.openxmlformats.org/officeDocument/2006/relationships/hyperlink" Target="https://www.thewealthadvisor.com/article/nuveen-cuts-fees-43-billion-etfs-launches-two-new-funds" TargetMode="External"/><Relationship Id="rId34" Type="http://schemas.openxmlformats.org/officeDocument/2006/relationships/hyperlink" Target="https://investor.vanguard.com/investment-products/mutual-funds/profile/VSG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6"/>
    <col collapsed="false" customWidth="true" hidden="false" outlineLevel="0" max="3" min="3" style="0" width="18"/>
    <col collapsed="false" customWidth="true" hidden="false" outlineLevel="0" max="4" min="4" style="0" width="70"/>
  </cols>
  <sheetData>
    <row r="1" customFormat="false" ht="17.35" hidden="false" customHeight="false" outlineLevel="0" collapsed="false">
      <c r="A1" s="1" t="s">
        <v>0</v>
      </c>
    </row>
    <row r="2" customFormat="false" ht="30" hidden="false" customHeight="true" outlineLevel="0" collapsed="false">
      <c r="A2" s="2" t="s">
        <v>1</v>
      </c>
      <c r="B2" s="2"/>
      <c r="C2" s="2"/>
      <c r="D2" s="2"/>
    </row>
    <row r="3" customFormat="false" ht="45" hidden="false" customHeight="true" outlineLevel="0" collapsed="false">
      <c r="A3" s="2" t="s">
        <v>2</v>
      </c>
      <c r="B3" s="2"/>
      <c r="C3" s="2"/>
      <c r="D3" s="2"/>
    </row>
    <row r="5" customFormat="false" ht="15" hidden="false" customHeight="false" outlineLevel="0" collapsed="false">
      <c r="A5" s="3" t="s">
        <v>3</v>
      </c>
      <c r="B5" s="3" t="s">
        <v>4</v>
      </c>
      <c r="C5" s="3" t="s">
        <v>5</v>
      </c>
      <c r="D5" s="3" t="s">
        <v>6</v>
      </c>
    </row>
    <row r="6" customFormat="false" ht="15" hidden="false" customHeight="false" outlineLevel="0" collapsed="false">
      <c r="A6" s="4" t="s">
        <v>7</v>
      </c>
      <c r="B6" s="4" t="n">
        <f aca="false">COUNTIF(Included_Funds[Tier],"Tier 1")</f>
        <v>4</v>
      </c>
      <c r="C6" s="5" t="n">
        <f aca="false">IFERROR(AVERAGEIF(Included_Funds[Tier],"Tier 1",Included_Funds[Expense Ratio]),"-")</f>
        <v>0.003675</v>
      </c>
      <c r="D6" s="4" t="s">
        <v>8</v>
      </c>
    </row>
    <row r="7" customFormat="false" ht="15" hidden="false" customHeight="false" outlineLevel="0" collapsed="false">
      <c r="A7" s="4" t="s">
        <v>9</v>
      </c>
      <c r="B7" s="4" t="n">
        <f aca="false">COUNTIF(Included_Funds[Tier],"Tier 2")</f>
        <v>8</v>
      </c>
      <c r="C7" s="5" t="n">
        <f aca="false">IFERROR(AVERAGEIF(Included_Funds[Tier],"Tier 2",Included_Funds[Expense Ratio]),"-")</f>
        <v>0.0030125</v>
      </c>
      <c r="D7" s="4" t="s">
        <v>10</v>
      </c>
    </row>
    <row r="8" customFormat="false" ht="15" hidden="false" customHeight="false" outlineLevel="0" collapsed="false">
      <c r="A8" s="4" t="s">
        <v>11</v>
      </c>
      <c r="B8" s="4" t="n">
        <f aca="false">COUNTIF(Included_Funds[Tier],"Tier 3")</f>
        <v>9</v>
      </c>
      <c r="C8" s="5" t="n">
        <f aca="false">IFERROR(AVERAGEIF(Included_Funds[Tier],"Tier 3",Included_Funds[Expense Ratio]),"-")</f>
        <v>0.00637777777777778</v>
      </c>
      <c r="D8" s="4" t="s">
        <v>12</v>
      </c>
    </row>
    <row r="9" customFormat="false" ht="15" hidden="false" customHeight="false" outlineLevel="0" collapsed="false">
      <c r="A9" s="4" t="s">
        <v>13</v>
      </c>
      <c r="B9" s="4" t="n">
        <f aca="false">COUNTA(Excluded_Funds[Ticker])</f>
        <v>84</v>
      </c>
      <c r="C9" s="5" t="n">
        <f aca="false">IFERROR(AVERAGE(Excluded_Funds[Expense Ratio]),"-")</f>
        <v>0.00295476190476191</v>
      </c>
      <c r="D9" s="4" t="s">
        <v>14</v>
      </c>
    </row>
    <row r="10" customFormat="false" ht="15" hidden="false" customHeight="false" outlineLevel="0" collapsed="false">
      <c r="A10" s="6" t="s">
        <v>15</v>
      </c>
      <c r="B10" s="6" t="n">
        <f aca="false">SUM(B6:B9)</f>
        <v>105</v>
      </c>
      <c r="C10" s="4"/>
      <c r="D10" s="4" t="s">
        <v>16</v>
      </c>
    </row>
    <row r="12" customFormat="false" ht="15" hidden="false" customHeight="false" outlineLevel="0" collapsed="false">
      <c r="A12" s="7" t="s">
        <v>17</v>
      </c>
    </row>
    <row r="13" customFormat="false" ht="15" hidden="false" customHeight="false" outlineLevel="0" collapsed="false">
      <c r="A13" s="3" t="s">
        <v>18</v>
      </c>
      <c r="B13" s="3" t="s">
        <v>19</v>
      </c>
    </row>
    <row r="14" customFormat="false" ht="15" hidden="false" customHeight="true" outlineLevel="0" collapsed="false">
      <c r="A14" s="4" t="s">
        <v>20</v>
      </c>
      <c r="B14" s="4" t="s">
        <v>21</v>
      </c>
      <c r="C14" s="4"/>
      <c r="D14" s="4"/>
    </row>
    <row r="15" customFormat="false" ht="15" hidden="false" customHeight="true" outlineLevel="0" collapsed="false">
      <c r="A15" s="4" t="s">
        <v>22</v>
      </c>
      <c r="B15" s="4" t="s">
        <v>23</v>
      </c>
      <c r="C15" s="4"/>
      <c r="D15" s="4"/>
    </row>
    <row r="16" customFormat="false" ht="15" hidden="false" customHeight="true" outlineLevel="0" collapsed="false">
      <c r="A16" s="4" t="s">
        <v>24</v>
      </c>
      <c r="B16" s="4" t="s">
        <v>25</v>
      </c>
      <c r="C16" s="4"/>
      <c r="D16" s="4"/>
    </row>
    <row r="17" customFormat="false" ht="15" hidden="false" customHeight="true" outlineLevel="0" collapsed="false">
      <c r="A17" s="4" t="s">
        <v>26</v>
      </c>
      <c r="B17" s="4" t="s">
        <v>27</v>
      </c>
      <c r="C17" s="4"/>
      <c r="D17" s="4"/>
    </row>
    <row r="18" customFormat="false" ht="15" hidden="false" customHeight="true" outlineLevel="0" collapsed="false">
      <c r="A18" s="4" t="s">
        <v>28</v>
      </c>
      <c r="B18" s="4" t="s">
        <v>29</v>
      </c>
      <c r="C18" s="4"/>
      <c r="D18" s="4"/>
    </row>
    <row r="19" customFormat="false" ht="15" hidden="false" customHeight="true" outlineLevel="0" collapsed="false">
      <c r="A19" s="4" t="s">
        <v>30</v>
      </c>
      <c r="B19" s="4" t="s">
        <v>31</v>
      </c>
      <c r="C19" s="4"/>
      <c r="D19" s="4"/>
    </row>
    <row r="21" customFormat="false" ht="15" hidden="false" customHeight="false" outlineLevel="0" collapsed="false">
      <c r="A21" s="7" t="s">
        <v>32</v>
      </c>
    </row>
    <row r="22" customFormat="false" ht="30" hidden="false" customHeight="true" outlineLevel="0" collapsed="false">
      <c r="A22" s="8" t="s">
        <v>33</v>
      </c>
      <c r="B22" s="8"/>
      <c r="C22" s="8"/>
      <c r="D22" s="8"/>
    </row>
    <row r="23" customFormat="false" ht="30" hidden="false" customHeight="true" outlineLevel="0" collapsed="false">
      <c r="A23" s="8" t="s">
        <v>34</v>
      </c>
      <c r="B23" s="8"/>
      <c r="C23" s="8"/>
      <c r="D23" s="8"/>
    </row>
    <row r="24" customFormat="false" ht="30" hidden="false" customHeight="true" outlineLevel="0" collapsed="false">
      <c r="A24" s="8" t="s">
        <v>35</v>
      </c>
      <c r="B24" s="8"/>
      <c r="C24" s="8"/>
      <c r="D24" s="8"/>
    </row>
    <row r="25" customFormat="false" ht="30" hidden="false" customHeight="true" outlineLevel="0" collapsed="false">
      <c r="A25" s="8" t="s">
        <v>36</v>
      </c>
      <c r="B25" s="8"/>
      <c r="C25" s="8"/>
      <c r="D25" s="8"/>
    </row>
    <row r="26" customFormat="false" ht="30" hidden="false" customHeight="true" outlineLevel="0" collapsed="false">
      <c r="A26" s="8" t="s">
        <v>37</v>
      </c>
      <c r="B26" s="8"/>
      <c r="C26" s="8"/>
      <c r="D26" s="8"/>
    </row>
  </sheetData>
  <mergeCells count="13">
    <mergeCell ref="A2:D2"/>
    <mergeCell ref="A3:D3"/>
    <mergeCell ref="B14:D14"/>
    <mergeCell ref="B15:D15"/>
    <mergeCell ref="B16:D16"/>
    <mergeCell ref="B17:D17"/>
    <mergeCell ref="B18:D18"/>
    <mergeCell ref="B19:D19"/>
    <mergeCell ref="A22:D22"/>
    <mergeCell ref="A23:D23"/>
    <mergeCell ref="A24:D24"/>
    <mergeCell ref="A25:D25"/>
    <mergeCell ref="A26:D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8"/>
    <col collapsed="false" customWidth="true" hidden="false" outlineLevel="0" max="3" min="3" style="0" width="34"/>
    <col collapsed="false" customWidth="true" hidden="false" outlineLevel="0" max="4" min="4" style="0" width="32"/>
    <col collapsed="false" customWidth="true" hidden="false" outlineLevel="0" max="5" min="5" style="0" width="48"/>
    <col collapsed="false" customWidth="true" hidden="false" outlineLevel="0" max="6" min="6" style="0" width="30"/>
    <col collapsed="false" customWidth="true" hidden="false" outlineLevel="0" max="7" min="7" style="0" width="40"/>
    <col collapsed="false" customWidth="true" hidden="false" outlineLevel="0" max="8" min="8" style="0" width="11"/>
    <col collapsed="false" customWidth="true" hidden="false" outlineLevel="0" max="9" min="9" style="0" width="12"/>
    <col collapsed="false" customWidth="true" hidden="false" outlineLevel="0" max="10" min="10" style="0" width="22"/>
    <col collapsed="false" customWidth="true" hidden="false" outlineLevel="0" max="11" min="11" style="0" width="50"/>
    <col collapsed="false" customWidth="true" hidden="false" outlineLevel="0" max="12" min="12" style="0" width="26"/>
    <col collapsed="false" customWidth="true" hidden="false" outlineLevel="0" max="13" min="13" style="0" width="36"/>
  </cols>
  <sheetData>
    <row r="1" customFormat="false" ht="31.5" hidden="false" customHeight="true" outlineLevel="0" collapsed="false">
      <c r="A1" s="9" t="s">
        <v>38</v>
      </c>
      <c r="B1" s="9" t="s">
        <v>39</v>
      </c>
      <c r="C1" s="9" t="s">
        <v>40</v>
      </c>
      <c r="D1" s="9" t="s">
        <v>41</v>
      </c>
      <c r="E1" s="9" t="s">
        <v>42</v>
      </c>
      <c r="F1" s="9" t="s">
        <v>43</v>
      </c>
      <c r="G1" s="9" t="s">
        <v>44</v>
      </c>
      <c r="H1" s="9" t="s">
        <v>45</v>
      </c>
      <c r="I1" s="9" t="s">
        <v>46</v>
      </c>
      <c r="J1" s="9" t="s">
        <v>47</v>
      </c>
      <c r="K1" s="9" t="s">
        <v>48</v>
      </c>
      <c r="L1" s="9" t="s">
        <v>49</v>
      </c>
      <c r="M1" s="9" t="s">
        <v>50</v>
      </c>
    </row>
    <row r="2" customFormat="false" ht="57.45" hidden="false" customHeight="false" outlineLevel="0" collapsed="false">
      <c r="A2" s="4" t="s">
        <v>51</v>
      </c>
      <c r="B2" s="4" t="s">
        <v>52</v>
      </c>
      <c r="C2" s="4" t="s">
        <v>53</v>
      </c>
      <c r="D2" s="4" t="s">
        <v>54</v>
      </c>
      <c r="E2" s="4" t="s">
        <v>55</v>
      </c>
      <c r="F2" s="4" t="s">
        <v>56</v>
      </c>
      <c r="G2" s="4" t="s">
        <v>57</v>
      </c>
      <c r="H2" s="5" t="n">
        <v>0.003</v>
      </c>
      <c r="I2" s="4" t="s">
        <v>58</v>
      </c>
      <c r="J2" s="4" t="s">
        <v>59</v>
      </c>
      <c r="K2" s="4" t="s">
        <v>60</v>
      </c>
      <c r="L2" s="4" t="s">
        <v>26</v>
      </c>
      <c r="M2" s="4" t="s">
        <v>61</v>
      </c>
    </row>
    <row r="3" customFormat="false" ht="46.25" hidden="false" customHeight="false" outlineLevel="0" collapsed="false">
      <c r="A3" s="4" t="s">
        <v>51</v>
      </c>
      <c r="B3" s="4" t="s">
        <v>62</v>
      </c>
      <c r="C3" s="4" t="s">
        <v>63</v>
      </c>
      <c r="D3" s="4" t="s">
        <v>64</v>
      </c>
      <c r="E3" s="4" t="s">
        <v>65</v>
      </c>
      <c r="F3" s="4" t="s">
        <v>66</v>
      </c>
      <c r="G3" s="4" t="s">
        <v>67</v>
      </c>
      <c r="H3" s="5" t="n">
        <v>0.0036</v>
      </c>
      <c r="I3" s="4" t="s">
        <v>58</v>
      </c>
      <c r="J3" s="4" t="s">
        <v>68</v>
      </c>
      <c r="K3" s="4" t="s">
        <v>69</v>
      </c>
      <c r="L3" s="4" t="s">
        <v>20</v>
      </c>
      <c r="M3" s="4" t="s">
        <v>70</v>
      </c>
    </row>
    <row r="4" customFormat="false" ht="35.05" hidden="false" customHeight="false" outlineLevel="0" collapsed="false">
      <c r="A4" s="4" t="s">
        <v>51</v>
      </c>
      <c r="B4" s="4" t="s">
        <v>71</v>
      </c>
      <c r="C4" s="4" t="s">
        <v>72</v>
      </c>
      <c r="D4" s="4" t="s">
        <v>73</v>
      </c>
      <c r="E4" s="4" t="s">
        <v>74</v>
      </c>
      <c r="F4" s="4" t="s">
        <v>75</v>
      </c>
      <c r="G4" s="4" t="s">
        <v>76</v>
      </c>
      <c r="H4" s="5" t="n">
        <v>0.0036</v>
      </c>
      <c r="I4" s="4" t="s">
        <v>58</v>
      </c>
      <c r="J4" s="4" t="s">
        <v>68</v>
      </c>
      <c r="K4" s="4" t="s">
        <v>77</v>
      </c>
      <c r="L4" s="4" t="s">
        <v>20</v>
      </c>
      <c r="M4" s="4" t="s">
        <v>78</v>
      </c>
    </row>
    <row r="5" customFormat="false" ht="46.25" hidden="false" customHeight="false" outlineLevel="0" collapsed="false">
      <c r="A5" s="4" t="s">
        <v>51</v>
      </c>
      <c r="B5" s="4" t="s">
        <v>25</v>
      </c>
      <c r="C5" s="4" t="s">
        <v>79</v>
      </c>
      <c r="D5" s="4" t="s">
        <v>80</v>
      </c>
      <c r="E5" s="4" t="s">
        <v>81</v>
      </c>
      <c r="F5" s="4" t="s">
        <v>82</v>
      </c>
      <c r="G5" s="4" t="s">
        <v>83</v>
      </c>
      <c r="H5" s="5" t="n">
        <v>0.0045</v>
      </c>
      <c r="I5" s="4" t="s">
        <v>58</v>
      </c>
      <c r="J5" s="4" t="s">
        <v>84</v>
      </c>
      <c r="K5" s="4" t="s">
        <v>85</v>
      </c>
      <c r="L5" s="4" t="s">
        <v>24</v>
      </c>
      <c r="M5" s="4" t="s">
        <v>86</v>
      </c>
    </row>
    <row r="6" customFormat="false" ht="46.25" hidden="false" customHeight="false" outlineLevel="0" collapsed="false">
      <c r="A6" s="4" t="s">
        <v>87</v>
      </c>
      <c r="B6" s="4" t="s">
        <v>88</v>
      </c>
      <c r="C6" s="4" t="s">
        <v>89</v>
      </c>
      <c r="D6" s="4" t="s">
        <v>90</v>
      </c>
      <c r="E6" s="4" t="s">
        <v>91</v>
      </c>
      <c r="F6" s="4" t="s">
        <v>92</v>
      </c>
      <c r="G6" s="4" t="s">
        <v>93</v>
      </c>
      <c r="H6" s="5" t="n">
        <v>0.0049</v>
      </c>
      <c r="I6" s="4" t="s">
        <v>58</v>
      </c>
      <c r="J6" s="4" t="s">
        <v>94</v>
      </c>
      <c r="K6" s="4" t="s">
        <v>95</v>
      </c>
      <c r="L6" s="4" t="s">
        <v>96</v>
      </c>
      <c r="M6" s="4" t="s">
        <v>97</v>
      </c>
    </row>
    <row r="7" customFormat="false" ht="46.25" hidden="false" customHeight="false" outlineLevel="0" collapsed="false">
      <c r="A7" s="4" t="s">
        <v>87</v>
      </c>
      <c r="B7" s="4" t="s">
        <v>98</v>
      </c>
      <c r="C7" s="4" t="s">
        <v>99</v>
      </c>
      <c r="D7" s="4" t="s">
        <v>100</v>
      </c>
      <c r="E7" s="4" t="s">
        <v>101</v>
      </c>
      <c r="F7" s="4" t="s">
        <v>102</v>
      </c>
      <c r="G7" s="4" t="s">
        <v>103</v>
      </c>
      <c r="H7" s="5" t="n">
        <v>0.0045</v>
      </c>
      <c r="I7" s="4" t="s">
        <v>58</v>
      </c>
      <c r="J7" s="4" t="s">
        <v>104</v>
      </c>
      <c r="K7" s="4" t="s">
        <v>105</v>
      </c>
      <c r="L7" s="4" t="s">
        <v>96</v>
      </c>
      <c r="M7" s="4" t="s">
        <v>106</v>
      </c>
    </row>
    <row r="8" customFormat="false" ht="46.25" hidden="false" customHeight="false" outlineLevel="0" collapsed="false">
      <c r="A8" s="4" t="s">
        <v>87</v>
      </c>
      <c r="B8" s="4" t="s">
        <v>107</v>
      </c>
      <c r="C8" s="4" t="s">
        <v>108</v>
      </c>
      <c r="D8" s="4" t="s">
        <v>109</v>
      </c>
      <c r="E8" s="4" t="s">
        <v>110</v>
      </c>
      <c r="F8" s="4" t="s">
        <v>111</v>
      </c>
      <c r="G8" s="4" t="s">
        <v>112</v>
      </c>
      <c r="H8" s="5" t="n">
        <v>0.0074</v>
      </c>
      <c r="I8" s="4" t="s">
        <v>58</v>
      </c>
      <c r="J8" s="4" t="s">
        <v>113</v>
      </c>
      <c r="K8" s="4" t="s">
        <v>114</v>
      </c>
      <c r="L8" s="4" t="s">
        <v>115</v>
      </c>
      <c r="M8" s="4" t="s">
        <v>116</v>
      </c>
    </row>
    <row r="9" customFormat="false" ht="35.05" hidden="false" customHeight="false" outlineLevel="0" collapsed="false">
      <c r="A9" s="4" t="s">
        <v>87</v>
      </c>
      <c r="B9" s="4" t="s">
        <v>117</v>
      </c>
      <c r="C9" s="4" t="s">
        <v>118</v>
      </c>
      <c r="D9" s="4" t="s">
        <v>119</v>
      </c>
      <c r="E9" s="4" t="s">
        <v>120</v>
      </c>
      <c r="F9" s="4" t="s">
        <v>121</v>
      </c>
      <c r="G9" s="4" t="s">
        <v>122</v>
      </c>
      <c r="H9" s="5" t="n">
        <v>0.0024</v>
      </c>
      <c r="I9" s="4" t="s">
        <v>58</v>
      </c>
      <c r="J9" s="4" t="s">
        <v>123</v>
      </c>
      <c r="K9" s="4" t="s">
        <v>124</v>
      </c>
      <c r="L9" s="4" t="s">
        <v>125</v>
      </c>
      <c r="M9" s="4" t="s">
        <v>126</v>
      </c>
    </row>
    <row r="10" customFormat="false" ht="23.85" hidden="false" customHeight="false" outlineLevel="0" collapsed="false">
      <c r="A10" s="4" t="s">
        <v>87</v>
      </c>
      <c r="B10" s="4" t="s">
        <v>127</v>
      </c>
      <c r="C10" s="4" t="s">
        <v>128</v>
      </c>
      <c r="D10" s="4" t="s">
        <v>129</v>
      </c>
      <c r="E10" s="4" t="s">
        <v>130</v>
      </c>
      <c r="F10" s="4" t="s">
        <v>131</v>
      </c>
      <c r="G10" s="4" t="s">
        <v>132</v>
      </c>
      <c r="H10" s="5" t="n">
        <v>0.0009</v>
      </c>
      <c r="I10" s="4" t="s">
        <v>58</v>
      </c>
      <c r="J10" s="4" t="s">
        <v>133</v>
      </c>
      <c r="K10" s="4" t="s">
        <v>134</v>
      </c>
      <c r="L10" s="4"/>
      <c r="M10" s="4" t="s">
        <v>135</v>
      </c>
    </row>
    <row r="11" customFormat="false" ht="23.85" hidden="false" customHeight="false" outlineLevel="0" collapsed="false">
      <c r="A11" s="4" t="s">
        <v>87</v>
      </c>
      <c r="B11" s="4" t="s">
        <v>23</v>
      </c>
      <c r="C11" s="4" t="s">
        <v>136</v>
      </c>
      <c r="D11" s="4" t="s">
        <v>137</v>
      </c>
      <c r="E11" s="4" t="s">
        <v>138</v>
      </c>
      <c r="F11" s="4" t="s">
        <v>139</v>
      </c>
      <c r="G11" s="4" t="s">
        <v>140</v>
      </c>
      <c r="H11" s="5" t="n">
        <v>0.0015</v>
      </c>
      <c r="I11" s="4" t="s">
        <v>58</v>
      </c>
      <c r="J11" s="4" t="s">
        <v>141</v>
      </c>
      <c r="K11" s="4" t="s">
        <v>142</v>
      </c>
      <c r="L11" s="4" t="s">
        <v>22</v>
      </c>
      <c r="M11" s="4" t="s">
        <v>143</v>
      </c>
    </row>
    <row r="12" customFormat="false" ht="23.85" hidden="false" customHeight="false" outlineLevel="0" collapsed="false">
      <c r="A12" s="4" t="s">
        <v>87</v>
      </c>
      <c r="B12" s="4" t="s">
        <v>144</v>
      </c>
      <c r="C12" s="4" t="s">
        <v>145</v>
      </c>
      <c r="D12" s="4" t="s">
        <v>146</v>
      </c>
      <c r="E12" s="4" t="s">
        <v>147</v>
      </c>
      <c r="F12" s="4" t="s">
        <v>148</v>
      </c>
      <c r="G12" s="4" t="s">
        <v>149</v>
      </c>
      <c r="H12" s="5" t="n">
        <v>0.002</v>
      </c>
      <c r="I12" s="4" t="s">
        <v>150</v>
      </c>
      <c r="J12" s="4" t="s">
        <v>151</v>
      </c>
      <c r="K12" s="4" t="s">
        <v>152</v>
      </c>
      <c r="L12" s="4" t="s">
        <v>26</v>
      </c>
      <c r="M12" s="4" t="s">
        <v>153</v>
      </c>
    </row>
    <row r="13" customFormat="false" ht="35.05" hidden="false" customHeight="false" outlineLevel="0" collapsed="false">
      <c r="A13" s="4" t="s">
        <v>87</v>
      </c>
      <c r="B13" s="4" t="s">
        <v>154</v>
      </c>
      <c r="C13" s="4" t="s">
        <v>155</v>
      </c>
      <c r="D13" s="4" t="s">
        <v>156</v>
      </c>
      <c r="E13" s="4" t="s">
        <v>157</v>
      </c>
      <c r="F13" s="4" t="s">
        <v>158</v>
      </c>
      <c r="G13" s="4" t="s">
        <v>159</v>
      </c>
      <c r="H13" s="5" t="n">
        <v>0.0005</v>
      </c>
      <c r="I13" s="4" t="s">
        <v>150</v>
      </c>
      <c r="J13" s="4" t="s">
        <v>160</v>
      </c>
      <c r="K13" s="4" t="s">
        <v>161</v>
      </c>
      <c r="L13" s="4" t="s">
        <v>115</v>
      </c>
      <c r="M13" s="4" t="s">
        <v>162</v>
      </c>
    </row>
    <row r="14" customFormat="false" ht="23.85" hidden="false" customHeight="false" outlineLevel="0" collapsed="false">
      <c r="A14" s="4" t="s">
        <v>163</v>
      </c>
      <c r="B14" s="4" t="s">
        <v>164</v>
      </c>
      <c r="C14" s="4" t="s">
        <v>165</v>
      </c>
      <c r="D14" s="4" t="s">
        <v>166</v>
      </c>
      <c r="E14" s="4" t="s">
        <v>167</v>
      </c>
      <c r="F14" s="4" t="s">
        <v>168</v>
      </c>
      <c r="G14" s="4" t="s">
        <v>169</v>
      </c>
      <c r="H14" s="5" t="n">
        <v>0.0055</v>
      </c>
      <c r="I14" s="4" t="s">
        <v>150</v>
      </c>
      <c r="J14" s="4" t="s">
        <v>170</v>
      </c>
      <c r="K14" s="4" t="s">
        <v>171</v>
      </c>
      <c r="L14" s="4" t="s">
        <v>115</v>
      </c>
      <c r="M14" s="4" t="s">
        <v>172</v>
      </c>
    </row>
    <row r="15" customFormat="false" ht="23.85" hidden="false" customHeight="false" outlineLevel="0" collapsed="false">
      <c r="A15" s="4" t="s">
        <v>163</v>
      </c>
      <c r="B15" s="4" t="s">
        <v>173</v>
      </c>
      <c r="C15" s="4" t="s">
        <v>174</v>
      </c>
      <c r="D15" s="4" t="s">
        <v>175</v>
      </c>
      <c r="E15" s="4" t="s">
        <v>167</v>
      </c>
      <c r="F15" s="4" t="s">
        <v>176</v>
      </c>
      <c r="G15" s="4" t="s">
        <v>177</v>
      </c>
      <c r="H15" s="5" t="n">
        <v>0.0061</v>
      </c>
      <c r="I15" s="4" t="s">
        <v>150</v>
      </c>
      <c r="J15" s="4" t="s">
        <v>178</v>
      </c>
      <c r="K15" s="4" t="s">
        <v>179</v>
      </c>
      <c r="L15" s="4" t="s">
        <v>115</v>
      </c>
      <c r="M15" s="4" t="s">
        <v>172</v>
      </c>
    </row>
    <row r="16" customFormat="false" ht="23.85" hidden="false" customHeight="false" outlineLevel="0" collapsed="false">
      <c r="A16" s="4" t="s">
        <v>163</v>
      </c>
      <c r="B16" s="4" t="s">
        <v>180</v>
      </c>
      <c r="C16" s="4" t="s">
        <v>181</v>
      </c>
      <c r="D16" s="4" t="s">
        <v>175</v>
      </c>
      <c r="E16" s="4" t="s">
        <v>167</v>
      </c>
      <c r="F16" s="4" t="s">
        <v>182</v>
      </c>
      <c r="G16" s="4" t="s">
        <v>183</v>
      </c>
      <c r="H16" s="5" t="n">
        <v>0.0055</v>
      </c>
      <c r="I16" s="4" t="s">
        <v>150</v>
      </c>
      <c r="J16" s="4" t="s">
        <v>170</v>
      </c>
      <c r="K16" s="4" t="s">
        <v>184</v>
      </c>
      <c r="L16" s="4" t="s">
        <v>115</v>
      </c>
      <c r="M16" s="4" t="s">
        <v>172</v>
      </c>
    </row>
    <row r="17" customFormat="false" ht="23.85" hidden="false" customHeight="false" outlineLevel="0" collapsed="false">
      <c r="A17" s="4" t="s">
        <v>163</v>
      </c>
      <c r="B17" s="4" t="s">
        <v>185</v>
      </c>
      <c r="C17" s="4" t="s">
        <v>186</v>
      </c>
      <c r="D17" s="4" t="s">
        <v>187</v>
      </c>
      <c r="E17" s="4" t="s">
        <v>167</v>
      </c>
      <c r="F17" s="4" t="s">
        <v>188</v>
      </c>
      <c r="G17" s="4" t="s">
        <v>189</v>
      </c>
      <c r="H17" s="5" t="n">
        <v>0.004</v>
      </c>
      <c r="I17" s="4" t="s">
        <v>150</v>
      </c>
      <c r="J17" s="4" t="s">
        <v>190</v>
      </c>
      <c r="K17" s="4" t="s">
        <v>191</v>
      </c>
      <c r="L17" s="4" t="s">
        <v>115</v>
      </c>
      <c r="M17" s="4" t="s">
        <v>172</v>
      </c>
    </row>
    <row r="18" customFormat="false" ht="23.85" hidden="false" customHeight="false" outlineLevel="0" collapsed="false">
      <c r="A18" s="4" t="s">
        <v>163</v>
      </c>
      <c r="B18" s="4" t="s">
        <v>192</v>
      </c>
      <c r="C18" s="4" t="s">
        <v>193</v>
      </c>
      <c r="D18" s="4" t="s">
        <v>194</v>
      </c>
      <c r="E18" s="4" t="s">
        <v>167</v>
      </c>
      <c r="F18" s="4" t="s">
        <v>195</v>
      </c>
      <c r="G18" s="4" t="s">
        <v>196</v>
      </c>
      <c r="H18" s="5" t="n">
        <v>0.0075</v>
      </c>
      <c r="I18" s="4" t="s">
        <v>150</v>
      </c>
      <c r="J18" s="4" t="s">
        <v>197</v>
      </c>
      <c r="K18" s="4" t="s">
        <v>198</v>
      </c>
      <c r="L18" s="4" t="s">
        <v>115</v>
      </c>
      <c r="M18" s="4" t="s">
        <v>172</v>
      </c>
    </row>
    <row r="19" customFormat="false" ht="23.85" hidden="false" customHeight="false" outlineLevel="0" collapsed="false">
      <c r="A19" s="4" t="s">
        <v>163</v>
      </c>
      <c r="B19" s="4" t="s">
        <v>199</v>
      </c>
      <c r="C19" s="4" t="s">
        <v>200</v>
      </c>
      <c r="D19" s="4" t="s">
        <v>201</v>
      </c>
      <c r="E19" s="4" t="s">
        <v>167</v>
      </c>
      <c r="F19" s="4" t="s">
        <v>202</v>
      </c>
      <c r="G19" s="4" t="s">
        <v>203</v>
      </c>
      <c r="H19" s="5" t="n">
        <v>0.0059</v>
      </c>
      <c r="I19" s="4" t="s">
        <v>150</v>
      </c>
      <c r="J19" s="4" t="s">
        <v>204</v>
      </c>
      <c r="K19" s="4" t="s">
        <v>205</v>
      </c>
      <c r="L19" s="4" t="s">
        <v>115</v>
      </c>
      <c r="M19" s="4" t="s">
        <v>172</v>
      </c>
    </row>
    <row r="20" customFormat="false" ht="23.85" hidden="false" customHeight="false" outlineLevel="0" collapsed="false">
      <c r="A20" s="4" t="s">
        <v>163</v>
      </c>
      <c r="B20" s="4" t="s">
        <v>206</v>
      </c>
      <c r="C20" s="4" t="s">
        <v>207</v>
      </c>
      <c r="D20" s="4" t="s">
        <v>208</v>
      </c>
      <c r="E20" s="4" t="s">
        <v>167</v>
      </c>
      <c r="F20" s="4" t="s">
        <v>209</v>
      </c>
      <c r="G20" s="4" t="s">
        <v>210</v>
      </c>
      <c r="H20" s="5" t="n">
        <v>0.0072</v>
      </c>
      <c r="I20" s="4" t="s">
        <v>150</v>
      </c>
      <c r="J20" s="4" t="s">
        <v>211</v>
      </c>
      <c r="K20" s="4" t="s">
        <v>212</v>
      </c>
      <c r="L20" s="4" t="s">
        <v>115</v>
      </c>
      <c r="M20" s="4" t="s">
        <v>172</v>
      </c>
    </row>
    <row r="21" customFormat="false" ht="23.85" hidden="false" customHeight="false" outlineLevel="0" collapsed="false">
      <c r="A21" s="4" t="s">
        <v>163</v>
      </c>
      <c r="B21" s="4" t="s">
        <v>213</v>
      </c>
      <c r="C21" s="4" t="s">
        <v>214</v>
      </c>
      <c r="D21" s="4" t="s">
        <v>208</v>
      </c>
      <c r="E21" s="4" t="s">
        <v>167</v>
      </c>
      <c r="F21" s="4" t="s">
        <v>215</v>
      </c>
      <c r="G21" s="4" t="s">
        <v>216</v>
      </c>
      <c r="H21" s="5" t="n">
        <v>0.0079</v>
      </c>
      <c r="I21" s="4" t="s">
        <v>150</v>
      </c>
      <c r="J21" s="4" t="s">
        <v>217</v>
      </c>
      <c r="K21" s="4" t="s">
        <v>218</v>
      </c>
      <c r="L21" s="4" t="s">
        <v>115</v>
      </c>
      <c r="M21" s="4" t="s">
        <v>172</v>
      </c>
    </row>
    <row r="22" customFormat="false" ht="23.85" hidden="false" customHeight="false" outlineLevel="0" collapsed="false">
      <c r="A22" s="4" t="s">
        <v>163</v>
      </c>
      <c r="B22" s="4" t="s">
        <v>219</v>
      </c>
      <c r="C22" s="4" t="s">
        <v>220</v>
      </c>
      <c r="D22" s="4" t="s">
        <v>208</v>
      </c>
      <c r="E22" s="4" t="s">
        <v>167</v>
      </c>
      <c r="F22" s="4" t="s">
        <v>221</v>
      </c>
      <c r="G22" s="4" t="s">
        <v>222</v>
      </c>
      <c r="H22" s="5" t="n">
        <v>0.0078</v>
      </c>
      <c r="I22" s="4" t="s">
        <v>150</v>
      </c>
      <c r="J22" s="4" t="s">
        <v>223</v>
      </c>
      <c r="K22" s="4" t="s">
        <v>224</v>
      </c>
      <c r="L22" s="4" t="s">
        <v>115</v>
      </c>
      <c r="M22" s="4" t="s">
        <v>172</v>
      </c>
    </row>
  </sheetData>
  <conditionalFormatting sqref="A2:M22">
    <cfRule type="expression" priority="2" aboveAverage="0" equalAverage="0" bottom="0" percent="0" rank="0" text="" dxfId="6">
      <formula>$A2="Tier 1"</formula>
    </cfRule>
    <cfRule type="expression" priority="3" aboveAverage="0" equalAverage="0" bottom="0" percent="0" rank="0" text="" dxfId="7">
      <formula>$A2="Tier 2"</formula>
    </cfRule>
    <cfRule type="expression" priority="4" aboveAverage="0" equalAverage="0" bottom="0" percent="0" rank="0" text="" dxfId="8">
      <formula>$A2="Tier 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8"/>
    <col collapsed="false" customWidth="true" hidden="false" outlineLevel="0" max="3" min="3" style="0" width="34"/>
    <col collapsed="false" customWidth="true" hidden="false" outlineLevel="0" max="4" min="4" style="0" width="30"/>
    <col collapsed="false" customWidth="true" hidden="false" outlineLevel="0" max="5" min="5" style="0" width="48"/>
    <col collapsed="false" customWidth="true" hidden="false" outlineLevel="0" max="6" min="6" style="0" width="28"/>
    <col collapsed="false" customWidth="true" hidden="false" outlineLevel="0" max="7" min="7" style="0" width="36"/>
    <col collapsed="false" customWidth="true" hidden="false" outlineLevel="0" max="8" min="8" style="0" width="11"/>
    <col collapsed="false" customWidth="true" hidden="false" outlineLevel="0" max="9" min="9" style="0" width="12"/>
    <col collapsed="false" customWidth="true" hidden="false" outlineLevel="0" max="10" min="10" style="0" width="22"/>
    <col collapsed="false" customWidth="true" hidden="false" outlineLevel="0" max="11" min="11" style="0" width="40"/>
    <col collapsed="false" customWidth="true" hidden="false" outlineLevel="0" max="12" min="12" style="0" width="14"/>
  </cols>
  <sheetData>
    <row r="1" customFormat="false" ht="31.5" hidden="false" customHeight="true" outlineLevel="0" collapsed="false">
      <c r="A1" s="9" t="s">
        <v>225</v>
      </c>
      <c r="B1" s="9" t="s">
        <v>39</v>
      </c>
      <c r="C1" s="9" t="s">
        <v>40</v>
      </c>
      <c r="D1" s="9" t="s">
        <v>41</v>
      </c>
      <c r="E1" s="9" t="s">
        <v>226</v>
      </c>
      <c r="F1" s="9" t="s">
        <v>43</v>
      </c>
      <c r="G1" s="9" t="s">
        <v>227</v>
      </c>
      <c r="H1" s="9" t="s">
        <v>45</v>
      </c>
      <c r="I1" s="9" t="s">
        <v>46</v>
      </c>
      <c r="J1" s="9" t="s">
        <v>47</v>
      </c>
      <c r="K1" s="9" t="s">
        <v>228</v>
      </c>
      <c r="L1" s="9" t="s">
        <v>229</v>
      </c>
    </row>
    <row r="2" customFormat="false" ht="35.05" hidden="false" customHeight="false" outlineLevel="0" collapsed="false">
      <c r="A2" s="4" t="s">
        <v>230</v>
      </c>
      <c r="B2" s="4" t="s">
        <v>231</v>
      </c>
      <c r="C2" s="4" t="s">
        <v>232</v>
      </c>
      <c r="D2" s="4" t="s">
        <v>233</v>
      </c>
      <c r="E2" s="4" t="s">
        <v>234</v>
      </c>
      <c r="F2" s="4" t="s">
        <v>235</v>
      </c>
      <c r="G2" s="4" t="s">
        <v>236</v>
      </c>
      <c r="H2" s="5" t="n">
        <v>0.001</v>
      </c>
      <c r="I2" s="4" t="s">
        <v>58</v>
      </c>
      <c r="J2" s="4" t="s">
        <v>237</v>
      </c>
      <c r="K2" s="4" t="s">
        <v>238</v>
      </c>
      <c r="L2" s="4"/>
    </row>
    <row r="3" customFormat="false" ht="23.85" hidden="false" customHeight="false" outlineLevel="0" collapsed="false">
      <c r="A3" s="4" t="s">
        <v>230</v>
      </c>
      <c r="B3" s="4" t="s">
        <v>239</v>
      </c>
      <c r="C3" s="4" t="s">
        <v>240</v>
      </c>
      <c r="D3" s="4" t="s">
        <v>233</v>
      </c>
      <c r="E3" s="4" t="s">
        <v>241</v>
      </c>
      <c r="F3" s="4" t="s">
        <v>139</v>
      </c>
      <c r="G3" s="4" t="s">
        <v>242</v>
      </c>
      <c r="H3" s="5" t="n">
        <v>0.0012</v>
      </c>
      <c r="I3" s="4" t="s">
        <v>58</v>
      </c>
      <c r="J3" s="4" t="s">
        <v>237</v>
      </c>
      <c r="K3" s="4" t="s">
        <v>238</v>
      </c>
      <c r="L3" s="4"/>
    </row>
    <row r="4" customFormat="false" ht="23.85" hidden="false" customHeight="false" outlineLevel="0" collapsed="false">
      <c r="A4" s="4" t="s">
        <v>230</v>
      </c>
      <c r="B4" s="4" t="s">
        <v>243</v>
      </c>
      <c r="C4" s="4" t="s">
        <v>244</v>
      </c>
      <c r="D4" s="4" t="s">
        <v>233</v>
      </c>
      <c r="E4" s="4" t="s">
        <v>245</v>
      </c>
      <c r="F4" s="4" t="s">
        <v>246</v>
      </c>
      <c r="G4" s="4" t="s">
        <v>247</v>
      </c>
      <c r="H4" s="5" t="n">
        <v>0.0016</v>
      </c>
      <c r="I4" s="4" t="s">
        <v>58</v>
      </c>
      <c r="J4" s="4" t="s">
        <v>237</v>
      </c>
      <c r="K4" s="4" t="s">
        <v>238</v>
      </c>
      <c r="L4" s="4"/>
    </row>
    <row r="5" customFormat="false" ht="23.85" hidden="false" customHeight="false" outlineLevel="0" collapsed="false">
      <c r="A5" s="4" t="s">
        <v>230</v>
      </c>
      <c r="B5" s="4" t="s">
        <v>248</v>
      </c>
      <c r="C5" s="4" t="s">
        <v>249</v>
      </c>
      <c r="D5" s="4" t="s">
        <v>233</v>
      </c>
      <c r="E5" s="4" t="s">
        <v>250</v>
      </c>
      <c r="F5" s="4" t="s">
        <v>251</v>
      </c>
      <c r="G5" s="4" t="s">
        <v>252</v>
      </c>
      <c r="H5" s="5" t="n">
        <v>0.0012</v>
      </c>
      <c r="I5" s="4" t="s">
        <v>58</v>
      </c>
      <c r="J5" s="4" t="s">
        <v>237</v>
      </c>
      <c r="K5" s="4" t="s">
        <v>238</v>
      </c>
      <c r="L5" s="4"/>
    </row>
    <row r="6" customFormat="false" ht="23.85" hidden="false" customHeight="false" outlineLevel="0" collapsed="false">
      <c r="A6" s="4" t="s">
        <v>230</v>
      </c>
      <c r="B6" s="4" t="s">
        <v>253</v>
      </c>
      <c r="C6" s="4" t="s">
        <v>254</v>
      </c>
      <c r="D6" s="4" t="s">
        <v>233</v>
      </c>
      <c r="E6" s="4" t="s">
        <v>255</v>
      </c>
      <c r="F6" s="4" t="s">
        <v>256</v>
      </c>
      <c r="G6" s="4" t="s">
        <v>257</v>
      </c>
      <c r="H6" s="5" t="n">
        <v>0.0035</v>
      </c>
      <c r="I6" s="4" t="s">
        <v>58</v>
      </c>
      <c r="J6" s="4" t="s">
        <v>237</v>
      </c>
      <c r="K6" s="4" t="s">
        <v>238</v>
      </c>
      <c r="L6" s="4"/>
    </row>
    <row r="7" customFormat="false" ht="46.25" hidden="false" customHeight="false" outlineLevel="0" collapsed="false">
      <c r="A7" s="4" t="s">
        <v>230</v>
      </c>
      <c r="B7" s="4" t="s">
        <v>258</v>
      </c>
      <c r="C7" s="4" t="s">
        <v>259</v>
      </c>
      <c r="D7" s="4" t="s">
        <v>233</v>
      </c>
      <c r="E7" s="4" t="s">
        <v>260</v>
      </c>
      <c r="F7" s="4" t="s">
        <v>261</v>
      </c>
      <c r="G7" s="4" t="s">
        <v>262</v>
      </c>
      <c r="H7" s="5" t="n">
        <v>0.0025</v>
      </c>
      <c r="I7" s="4" t="s">
        <v>58</v>
      </c>
      <c r="J7" s="4" t="s">
        <v>263</v>
      </c>
      <c r="K7" s="4" t="s">
        <v>238</v>
      </c>
      <c r="L7" s="4"/>
    </row>
    <row r="8" customFormat="false" ht="35.05" hidden="false" customHeight="false" outlineLevel="0" collapsed="false">
      <c r="A8" s="4" t="s">
        <v>230</v>
      </c>
      <c r="B8" s="4" t="s">
        <v>264</v>
      </c>
      <c r="C8" s="4" t="s">
        <v>265</v>
      </c>
      <c r="D8" s="4" t="s">
        <v>233</v>
      </c>
      <c r="E8" s="4" t="s">
        <v>266</v>
      </c>
      <c r="F8" s="4" t="s">
        <v>267</v>
      </c>
      <c r="G8" s="4" t="s">
        <v>268</v>
      </c>
      <c r="H8" s="5" t="n">
        <v>0.0049</v>
      </c>
      <c r="I8" s="4" t="s">
        <v>150</v>
      </c>
      <c r="J8" s="4" t="s">
        <v>237</v>
      </c>
      <c r="K8" s="4" t="s">
        <v>269</v>
      </c>
      <c r="L8" s="4"/>
    </row>
    <row r="9" customFormat="false" ht="35.05" hidden="false" customHeight="false" outlineLevel="0" collapsed="false">
      <c r="A9" s="4" t="s">
        <v>230</v>
      </c>
      <c r="B9" s="4" t="s">
        <v>270</v>
      </c>
      <c r="C9" s="4" t="s">
        <v>271</v>
      </c>
      <c r="D9" s="4" t="s">
        <v>233</v>
      </c>
      <c r="E9" s="4" t="s">
        <v>272</v>
      </c>
      <c r="F9" s="4" t="s">
        <v>273</v>
      </c>
      <c r="G9" s="4" t="s">
        <v>274</v>
      </c>
      <c r="H9" s="5" t="n">
        <v>0.002</v>
      </c>
      <c r="I9" s="4" t="s">
        <v>58</v>
      </c>
      <c r="J9" s="4" t="s">
        <v>237</v>
      </c>
      <c r="K9" s="4" t="s">
        <v>275</v>
      </c>
      <c r="L9" s="4"/>
    </row>
    <row r="10" customFormat="false" ht="46.25" hidden="false" customHeight="false" outlineLevel="0" collapsed="false">
      <c r="A10" s="4" t="s">
        <v>230</v>
      </c>
      <c r="B10" s="4" t="s">
        <v>276</v>
      </c>
      <c r="C10" s="4" t="s">
        <v>277</v>
      </c>
      <c r="D10" s="4" t="s">
        <v>278</v>
      </c>
      <c r="E10" s="4" t="s">
        <v>279</v>
      </c>
      <c r="F10" s="4" t="s">
        <v>280</v>
      </c>
      <c r="G10" s="4" t="s">
        <v>281</v>
      </c>
      <c r="H10" s="5" t="n">
        <v>0.003</v>
      </c>
      <c r="I10" s="4" t="s">
        <v>150</v>
      </c>
      <c r="J10" s="4" t="s">
        <v>282</v>
      </c>
      <c r="K10" s="4" t="s">
        <v>275</v>
      </c>
      <c r="L10" s="4"/>
    </row>
    <row r="11" customFormat="false" ht="23.85" hidden="false" customHeight="false" outlineLevel="0" collapsed="false">
      <c r="A11" s="4" t="s">
        <v>230</v>
      </c>
      <c r="B11" s="4" t="s">
        <v>283</v>
      </c>
      <c r="C11" s="4" t="s">
        <v>284</v>
      </c>
      <c r="D11" s="4" t="s">
        <v>285</v>
      </c>
      <c r="E11" s="4" t="s">
        <v>286</v>
      </c>
      <c r="F11" s="4" t="s">
        <v>287</v>
      </c>
      <c r="G11" s="4" t="s">
        <v>288</v>
      </c>
      <c r="H11" s="5" t="n">
        <v>0.0018</v>
      </c>
      <c r="I11" s="4" t="s">
        <v>150</v>
      </c>
      <c r="J11" s="4" t="s">
        <v>237</v>
      </c>
      <c r="K11" s="4" t="s">
        <v>289</v>
      </c>
      <c r="L11" s="4"/>
    </row>
    <row r="12" customFormat="false" ht="23.85" hidden="false" customHeight="false" outlineLevel="0" collapsed="false">
      <c r="A12" s="4" t="s">
        <v>230</v>
      </c>
      <c r="B12" s="4" t="s">
        <v>290</v>
      </c>
      <c r="C12" s="4" t="s">
        <v>291</v>
      </c>
      <c r="D12" s="4" t="s">
        <v>292</v>
      </c>
      <c r="E12" s="4" t="s">
        <v>293</v>
      </c>
      <c r="F12" s="4" t="s">
        <v>294</v>
      </c>
      <c r="G12" s="4" t="s">
        <v>295</v>
      </c>
      <c r="H12" s="5" t="n">
        <v>0.0012</v>
      </c>
      <c r="I12" s="4" t="s">
        <v>150</v>
      </c>
      <c r="J12" s="4" t="s">
        <v>237</v>
      </c>
      <c r="K12" s="4" t="s">
        <v>296</v>
      </c>
      <c r="L12" s="4"/>
    </row>
    <row r="13" customFormat="false" ht="23.85" hidden="false" customHeight="false" outlineLevel="0" collapsed="false">
      <c r="A13" s="4" t="s">
        <v>230</v>
      </c>
      <c r="B13" s="4" t="s">
        <v>297</v>
      </c>
      <c r="C13" s="4" t="s">
        <v>298</v>
      </c>
      <c r="D13" s="4" t="s">
        <v>299</v>
      </c>
      <c r="E13" s="4" t="s">
        <v>300</v>
      </c>
      <c r="F13" s="4" t="s">
        <v>301</v>
      </c>
      <c r="G13" s="4" t="s">
        <v>302</v>
      </c>
      <c r="H13" s="5" t="n">
        <v>0.0024</v>
      </c>
      <c r="I13" s="4" t="s">
        <v>150</v>
      </c>
      <c r="J13" s="4" t="s">
        <v>303</v>
      </c>
      <c r="K13" s="4" t="s">
        <v>304</v>
      </c>
      <c r="L13" s="4"/>
    </row>
    <row r="14" customFormat="false" ht="23.85" hidden="false" customHeight="false" outlineLevel="0" collapsed="false">
      <c r="A14" s="4" t="s">
        <v>230</v>
      </c>
      <c r="B14" s="4" t="s">
        <v>305</v>
      </c>
      <c r="C14" s="4" t="s">
        <v>306</v>
      </c>
      <c r="D14" s="4" t="s">
        <v>299</v>
      </c>
      <c r="E14" s="4" t="s">
        <v>307</v>
      </c>
      <c r="F14" s="4" t="s">
        <v>308</v>
      </c>
      <c r="G14" s="4" t="s">
        <v>309</v>
      </c>
      <c r="H14" s="5" t="n">
        <v>0.0018</v>
      </c>
      <c r="I14" s="4" t="s">
        <v>58</v>
      </c>
      <c r="J14" s="4" t="s">
        <v>303</v>
      </c>
      <c r="K14" s="4" t="s">
        <v>304</v>
      </c>
      <c r="L14" s="4"/>
    </row>
    <row r="15" customFormat="false" ht="23.85" hidden="false" customHeight="false" outlineLevel="0" collapsed="false">
      <c r="A15" s="4" t="s">
        <v>230</v>
      </c>
      <c r="B15" s="4" t="s">
        <v>310</v>
      </c>
      <c r="C15" s="4" t="s">
        <v>311</v>
      </c>
      <c r="D15" s="4" t="s">
        <v>299</v>
      </c>
      <c r="E15" s="4" t="s">
        <v>138</v>
      </c>
      <c r="F15" s="4" t="s">
        <v>139</v>
      </c>
      <c r="G15" s="4" t="s">
        <v>312</v>
      </c>
      <c r="H15" s="5" t="n">
        <v>0.0024</v>
      </c>
      <c r="I15" s="4" t="s">
        <v>58</v>
      </c>
      <c r="J15" s="4" t="s">
        <v>303</v>
      </c>
      <c r="K15" s="4" t="s">
        <v>304</v>
      </c>
      <c r="L15" s="4"/>
    </row>
    <row r="16" customFormat="false" ht="23.85" hidden="false" customHeight="false" outlineLevel="0" collapsed="false">
      <c r="A16" s="4" t="s">
        <v>313</v>
      </c>
      <c r="B16" s="4" t="s">
        <v>314</v>
      </c>
      <c r="C16" s="4" t="s">
        <v>315</v>
      </c>
      <c r="D16" s="4" t="s">
        <v>316</v>
      </c>
      <c r="E16" s="4" t="s">
        <v>317</v>
      </c>
      <c r="F16" s="4" t="s">
        <v>308</v>
      </c>
      <c r="G16" s="4" t="s">
        <v>318</v>
      </c>
      <c r="H16" s="5" t="n">
        <v>0.0015</v>
      </c>
      <c r="I16" s="4" t="s">
        <v>58</v>
      </c>
      <c r="J16" s="4" t="s">
        <v>303</v>
      </c>
      <c r="K16" s="4" t="s">
        <v>304</v>
      </c>
      <c r="L16" s="4"/>
    </row>
    <row r="17" customFormat="false" ht="23.85" hidden="false" customHeight="false" outlineLevel="0" collapsed="false">
      <c r="A17" s="4" t="s">
        <v>313</v>
      </c>
      <c r="B17" s="4" t="s">
        <v>319</v>
      </c>
      <c r="C17" s="4" t="s">
        <v>320</v>
      </c>
      <c r="D17" s="4" t="s">
        <v>316</v>
      </c>
      <c r="E17" s="4" t="s">
        <v>138</v>
      </c>
      <c r="F17" s="4" t="s">
        <v>139</v>
      </c>
      <c r="G17" s="4" t="s">
        <v>321</v>
      </c>
      <c r="H17" s="5" t="n">
        <v>0.0023</v>
      </c>
      <c r="I17" s="4" t="s">
        <v>58</v>
      </c>
      <c r="J17" s="4" t="s">
        <v>303</v>
      </c>
      <c r="K17" s="4" t="s">
        <v>304</v>
      </c>
      <c r="L17" s="4"/>
    </row>
    <row r="18" customFormat="false" ht="23.85" hidden="false" customHeight="false" outlineLevel="0" collapsed="false">
      <c r="A18" s="4" t="s">
        <v>313</v>
      </c>
      <c r="B18" s="4" t="s">
        <v>322</v>
      </c>
      <c r="C18" s="4" t="s">
        <v>323</v>
      </c>
      <c r="D18" s="4" t="s">
        <v>316</v>
      </c>
      <c r="E18" s="4" t="s">
        <v>324</v>
      </c>
      <c r="F18" s="4" t="s">
        <v>325</v>
      </c>
      <c r="G18" s="4" t="s">
        <v>326</v>
      </c>
      <c r="H18" s="5" t="n">
        <v>0.0033</v>
      </c>
      <c r="I18" s="4" t="s">
        <v>150</v>
      </c>
      <c r="J18" s="4" t="s">
        <v>303</v>
      </c>
      <c r="K18" s="4" t="s">
        <v>304</v>
      </c>
      <c r="L18" s="4"/>
    </row>
    <row r="19" customFormat="false" ht="23.85" hidden="false" customHeight="false" outlineLevel="0" collapsed="false">
      <c r="A19" s="4" t="s">
        <v>313</v>
      </c>
      <c r="B19" s="4" t="s">
        <v>327</v>
      </c>
      <c r="C19" s="4" t="s">
        <v>328</v>
      </c>
      <c r="D19" s="4" t="s">
        <v>233</v>
      </c>
      <c r="E19" s="4" t="s">
        <v>329</v>
      </c>
      <c r="F19" s="4" t="s">
        <v>131</v>
      </c>
      <c r="G19" s="4" t="s">
        <v>330</v>
      </c>
      <c r="H19" s="5" t="n">
        <v>0.0015</v>
      </c>
      <c r="I19" s="4" t="s">
        <v>58</v>
      </c>
      <c r="J19" s="4" t="s">
        <v>303</v>
      </c>
      <c r="K19" s="4" t="s">
        <v>331</v>
      </c>
      <c r="L19" s="4"/>
    </row>
    <row r="20" customFormat="false" ht="23.85" hidden="false" customHeight="false" outlineLevel="0" collapsed="false">
      <c r="A20" s="4" t="s">
        <v>313</v>
      </c>
      <c r="B20" s="4" t="s">
        <v>332</v>
      </c>
      <c r="C20" s="4" t="s">
        <v>333</v>
      </c>
      <c r="D20" s="4" t="s">
        <v>233</v>
      </c>
      <c r="E20" s="4" t="s">
        <v>334</v>
      </c>
      <c r="F20" s="4" t="s">
        <v>139</v>
      </c>
      <c r="G20" s="4" t="s">
        <v>335</v>
      </c>
      <c r="H20" s="5" t="n">
        <v>0.0022</v>
      </c>
      <c r="I20" s="4" t="s">
        <v>58</v>
      </c>
      <c r="J20" s="4" t="s">
        <v>303</v>
      </c>
      <c r="K20" s="4" t="s">
        <v>331</v>
      </c>
      <c r="L20" s="4"/>
    </row>
    <row r="21" customFormat="false" ht="23.85" hidden="false" customHeight="false" outlineLevel="0" collapsed="false">
      <c r="A21" s="4" t="s">
        <v>313</v>
      </c>
      <c r="B21" s="4" t="s">
        <v>336</v>
      </c>
      <c r="C21" s="4" t="s">
        <v>337</v>
      </c>
      <c r="D21" s="4" t="s">
        <v>338</v>
      </c>
      <c r="E21" s="4" t="s">
        <v>339</v>
      </c>
      <c r="F21" s="4" t="s">
        <v>340</v>
      </c>
      <c r="G21" s="4" t="s">
        <v>341</v>
      </c>
      <c r="H21" s="5" t="n">
        <v>0.0042</v>
      </c>
      <c r="I21" s="4" t="s">
        <v>150</v>
      </c>
      <c r="J21" s="4" t="s">
        <v>303</v>
      </c>
      <c r="K21" s="4" t="s">
        <v>304</v>
      </c>
      <c r="L21" s="4"/>
    </row>
    <row r="22" customFormat="false" ht="23.85" hidden="false" customHeight="false" outlineLevel="0" collapsed="false">
      <c r="A22" s="4" t="s">
        <v>313</v>
      </c>
      <c r="B22" s="4" t="s">
        <v>342</v>
      </c>
      <c r="C22" s="4" t="s">
        <v>343</v>
      </c>
      <c r="D22" s="4" t="s">
        <v>338</v>
      </c>
      <c r="E22" s="4" t="s">
        <v>344</v>
      </c>
      <c r="F22" s="4" t="s">
        <v>131</v>
      </c>
      <c r="G22" s="4" t="s">
        <v>345</v>
      </c>
      <c r="H22" s="5" t="n">
        <v>0.0032</v>
      </c>
      <c r="I22" s="4" t="s">
        <v>150</v>
      </c>
      <c r="J22" s="4" t="s">
        <v>303</v>
      </c>
      <c r="K22" s="4" t="s">
        <v>304</v>
      </c>
      <c r="L22" s="4"/>
    </row>
    <row r="23" customFormat="false" ht="23.85" hidden="false" customHeight="false" outlineLevel="0" collapsed="false">
      <c r="A23" s="4" t="s">
        <v>313</v>
      </c>
      <c r="B23" s="4" t="s">
        <v>346</v>
      </c>
      <c r="C23" s="4" t="s">
        <v>347</v>
      </c>
      <c r="D23" s="4" t="s">
        <v>348</v>
      </c>
      <c r="E23" s="4" t="s">
        <v>349</v>
      </c>
      <c r="F23" s="4" t="s">
        <v>350</v>
      </c>
      <c r="G23" s="4" t="s">
        <v>351</v>
      </c>
      <c r="H23" s="5" t="n">
        <v>0.0059</v>
      </c>
      <c r="I23" s="4" t="s">
        <v>150</v>
      </c>
      <c r="J23" s="4" t="s">
        <v>303</v>
      </c>
      <c r="K23" s="4" t="s">
        <v>331</v>
      </c>
      <c r="L23" s="4"/>
    </row>
    <row r="24" customFormat="false" ht="23.85" hidden="false" customHeight="false" outlineLevel="0" collapsed="false">
      <c r="A24" s="4" t="s">
        <v>313</v>
      </c>
      <c r="B24" s="4" t="s">
        <v>352</v>
      </c>
      <c r="C24" s="4" t="s">
        <v>353</v>
      </c>
      <c r="D24" s="4" t="s">
        <v>354</v>
      </c>
      <c r="E24" s="4" t="s">
        <v>355</v>
      </c>
      <c r="F24" s="4" t="s">
        <v>340</v>
      </c>
      <c r="G24" s="4" t="s">
        <v>356</v>
      </c>
      <c r="H24" s="5" t="n">
        <v>0.001</v>
      </c>
      <c r="I24" s="4" t="s">
        <v>150</v>
      </c>
      <c r="J24" s="4" t="s">
        <v>303</v>
      </c>
      <c r="K24" s="4" t="s">
        <v>357</v>
      </c>
      <c r="L24" s="4"/>
    </row>
    <row r="25" customFormat="false" ht="23.85" hidden="false" customHeight="false" outlineLevel="0" collapsed="false">
      <c r="A25" s="4" t="s">
        <v>313</v>
      </c>
      <c r="B25" s="4" t="s">
        <v>358</v>
      </c>
      <c r="C25" s="4" t="s">
        <v>359</v>
      </c>
      <c r="D25" s="4" t="s">
        <v>354</v>
      </c>
      <c r="E25" s="4" t="s">
        <v>360</v>
      </c>
      <c r="F25" s="4" t="s">
        <v>361</v>
      </c>
      <c r="G25" s="4" t="s">
        <v>362</v>
      </c>
      <c r="H25" s="5" t="n">
        <v>0.002</v>
      </c>
      <c r="I25" s="4" t="s">
        <v>150</v>
      </c>
      <c r="J25" s="4" t="s">
        <v>303</v>
      </c>
      <c r="K25" s="4" t="s">
        <v>331</v>
      </c>
      <c r="L25" s="4"/>
    </row>
    <row r="26" customFormat="false" ht="23.85" hidden="false" customHeight="false" outlineLevel="0" collapsed="false">
      <c r="A26" s="4" t="s">
        <v>313</v>
      </c>
      <c r="B26" s="4" t="s">
        <v>363</v>
      </c>
      <c r="C26" s="4" t="s">
        <v>364</v>
      </c>
      <c r="D26" s="4" t="s">
        <v>354</v>
      </c>
      <c r="E26" s="4" t="s">
        <v>365</v>
      </c>
      <c r="F26" s="4" t="s">
        <v>366</v>
      </c>
      <c r="G26" s="4" t="s">
        <v>367</v>
      </c>
      <c r="H26" s="5" t="n">
        <v>0.002</v>
      </c>
      <c r="I26" s="4" t="s">
        <v>150</v>
      </c>
      <c r="J26" s="4" t="s">
        <v>303</v>
      </c>
      <c r="K26" s="4" t="s">
        <v>331</v>
      </c>
      <c r="L26" s="4"/>
    </row>
    <row r="27" customFormat="false" ht="23.85" hidden="false" customHeight="false" outlineLevel="0" collapsed="false">
      <c r="A27" s="4" t="s">
        <v>313</v>
      </c>
      <c r="B27" s="4" t="s">
        <v>368</v>
      </c>
      <c r="C27" s="4" t="s">
        <v>369</v>
      </c>
      <c r="D27" s="4" t="s">
        <v>233</v>
      </c>
      <c r="E27" s="4" t="s">
        <v>370</v>
      </c>
      <c r="F27" s="4" t="s">
        <v>235</v>
      </c>
      <c r="G27" s="4" t="s">
        <v>371</v>
      </c>
      <c r="H27" s="5" t="n">
        <v>0.0015</v>
      </c>
      <c r="I27" s="4" t="s">
        <v>58</v>
      </c>
      <c r="J27" s="4" t="s">
        <v>303</v>
      </c>
      <c r="K27" s="4" t="s">
        <v>331</v>
      </c>
      <c r="L27" s="4"/>
    </row>
    <row r="28" customFormat="false" ht="23.85" hidden="false" customHeight="false" outlineLevel="0" collapsed="false">
      <c r="A28" s="4" t="s">
        <v>313</v>
      </c>
      <c r="B28" s="4" t="s">
        <v>372</v>
      </c>
      <c r="C28" s="4" t="s">
        <v>373</v>
      </c>
      <c r="D28" s="4" t="s">
        <v>233</v>
      </c>
      <c r="E28" s="4" t="s">
        <v>374</v>
      </c>
      <c r="F28" s="4" t="s">
        <v>375</v>
      </c>
      <c r="G28" s="4" t="s">
        <v>376</v>
      </c>
      <c r="H28" s="5" t="n">
        <v>0.0017</v>
      </c>
      <c r="I28" s="4" t="s">
        <v>150</v>
      </c>
      <c r="J28" s="4" t="s">
        <v>303</v>
      </c>
      <c r="K28" s="4" t="s">
        <v>331</v>
      </c>
      <c r="L28" s="4"/>
    </row>
    <row r="29" customFormat="false" ht="23.85" hidden="false" customHeight="false" outlineLevel="0" collapsed="false">
      <c r="A29" s="4" t="s">
        <v>313</v>
      </c>
      <c r="B29" s="4" t="s">
        <v>377</v>
      </c>
      <c r="C29" s="4" t="s">
        <v>378</v>
      </c>
      <c r="D29" s="4" t="s">
        <v>233</v>
      </c>
      <c r="E29" s="4" t="s">
        <v>379</v>
      </c>
      <c r="F29" s="4" t="s">
        <v>380</v>
      </c>
      <c r="G29" s="4" t="s">
        <v>381</v>
      </c>
      <c r="H29" s="5" t="n">
        <v>0.0018</v>
      </c>
      <c r="I29" s="4" t="s">
        <v>150</v>
      </c>
      <c r="J29" s="4" t="s">
        <v>382</v>
      </c>
      <c r="K29" s="4" t="s">
        <v>331</v>
      </c>
      <c r="L29" s="4"/>
    </row>
    <row r="30" customFormat="false" ht="23.85" hidden="false" customHeight="false" outlineLevel="0" collapsed="false">
      <c r="A30" s="4" t="s">
        <v>313</v>
      </c>
      <c r="B30" s="4" t="s">
        <v>383</v>
      </c>
      <c r="C30" s="4" t="s">
        <v>384</v>
      </c>
      <c r="D30" s="4" t="s">
        <v>233</v>
      </c>
      <c r="E30" s="4" t="s">
        <v>138</v>
      </c>
      <c r="F30" s="4" t="s">
        <v>139</v>
      </c>
      <c r="G30" s="4" t="s">
        <v>385</v>
      </c>
      <c r="H30" s="5" t="n">
        <v>0.002</v>
      </c>
      <c r="I30" s="4" t="s">
        <v>58</v>
      </c>
      <c r="J30" s="4" t="s">
        <v>303</v>
      </c>
      <c r="K30" s="4" t="s">
        <v>331</v>
      </c>
      <c r="L30" s="4"/>
    </row>
    <row r="31" customFormat="false" ht="23.85" hidden="false" customHeight="false" outlineLevel="0" collapsed="false">
      <c r="A31" s="4" t="s">
        <v>313</v>
      </c>
      <c r="B31" s="4" t="s">
        <v>386</v>
      </c>
      <c r="C31" s="4" t="s">
        <v>387</v>
      </c>
      <c r="D31" s="4" t="s">
        <v>233</v>
      </c>
      <c r="E31" s="4" t="s">
        <v>388</v>
      </c>
      <c r="F31" s="4" t="s">
        <v>325</v>
      </c>
      <c r="G31" s="4" t="s">
        <v>389</v>
      </c>
      <c r="H31" s="5" t="n">
        <v>0.0025</v>
      </c>
      <c r="I31" s="4" t="s">
        <v>58</v>
      </c>
      <c r="J31" s="4" t="s">
        <v>303</v>
      </c>
      <c r="K31" s="4" t="s">
        <v>331</v>
      </c>
      <c r="L31" s="4"/>
    </row>
    <row r="32" customFormat="false" ht="23.85" hidden="false" customHeight="false" outlineLevel="0" collapsed="false">
      <c r="A32" s="4" t="s">
        <v>313</v>
      </c>
      <c r="B32" s="4" t="s">
        <v>390</v>
      </c>
      <c r="C32" s="4" t="s">
        <v>391</v>
      </c>
      <c r="D32" s="4" t="s">
        <v>233</v>
      </c>
      <c r="E32" s="4" t="s">
        <v>392</v>
      </c>
      <c r="F32" s="4" t="s">
        <v>325</v>
      </c>
      <c r="G32" s="4" t="s">
        <v>393</v>
      </c>
      <c r="H32" s="5" t="n">
        <v>0.0016</v>
      </c>
      <c r="I32" s="4" t="s">
        <v>58</v>
      </c>
      <c r="J32" s="4" t="s">
        <v>303</v>
      </c>
      <c r="K32" s="4" t="s">
        <v>304</v>
      </c>
      <c r="L32" s="4"/>
    </row>
    <row r="33" customFormat="false" ht="23.85" hidden="false" customHeight="false" outlineLevel="0" collapsed="false">
      <c r="A33" s="4" t="s">
        <v>313</v>
      </c>
      <c r="B33" s="4" t="s">
        <v>394</v>
      </c>
      <c r="C33" s="4" t="s">
        <v>395</v>
      </c>
      <c r="D33" s="4" t="s">
        <v>233</v>
      </c>
      <c r="E33" s="4" t="s">
        <v>396</v>
      </c>
      <c r="F33" s="4" t="s">
        <v>235</v>
      </c>
      <c r="G33" s="4" t="s">
        <v>397</v>
      </c>
      <c r="H33" s="5" t="n">
        <v>0.001</v>
      </c>
      <c r="I33" s="4" t="s">
        <v>58</v>
      </c>
      <c r="J33" s="4" t="s">
        <v>303</v>
      </c>
      <c r="K33" s="4" t="s">
        <v>304</v>
      </c>
      <c r="L33" s="4"/>
    </row>
    <row r="34" customFormat="false" ht="23.85" hidden="false" customHeight="false" outlineLevel="0" collapsed="false">
      <c r="A34" s="4" t="s">
        <v>313</v>
      </c>
      <c r="B34" s="4" t="s">
        <v>398</v>
      </c>
      <c r="C34" s="4" t="s">
        <v>399</v>
      </c>
      <c r="D34" s="4" t="s">
        <v>233</v>
      </c>
      <c r="E34" s="4" t="s">
        <v>400</v>
      </c>
      <c r="F34" s="4" t="s">
        <v>235</v>
      </c>
      <c r="G34" s="4" t="s">
        <v>401</v>
      </c>
      <c r="H34" s="5" t="n">
        <v>0.0025</v>
      </c>
      <c r="I34" s="4" t="s">
        <v>58</v>
      </c>
      <c r="J34" s="4" t="s">
        <v>303</v>
      </c>
      <c r="K34" s="4" t="s">
        <v>402</v>
      </c>
      <c r="L34" s="4"/>
    </row>
    <row r="35" customFormat="false" ht="23.85" hidden="false" customHeight="false" outlineLevel="0" collapsed="false">
      <c r="A35" s="4" t="s">
        <v>313</v>
      </c>
      <c r="B35" s="4" t="s">
        <v>403</v>
      </c>
      <c r="C35" s="4" t="s">
        <v>404</v>
      </c>
      <c r="D35" s="4" t="s">
        <v>233</v>
      </c>
      <c r="E35" s="4" t="s">
        <v>405</v>
      </c>
      <c r="F35" s="4" t="s">
        <v>131</v>
      </c>
      <c r="G35" s="4" t="s">
        <v>159</v>
      </c>
      <c r="H35" s="5" t="n">
        <v>0.0008</v>
      </c>
      <c r="I35" s="4" t="s">
        <v>58</v>
      </c>
      <c r="J35" s="4" t="s">
        <v>303</v>
      </c>
      <c r="K35" s="4" t="s">
        <v>331</v>
      </c>
      <c r="L35" s="4"/>
    </row>
    <row r="36" customFormat="false" ht="23.85" hidden="false" customHeight="false" outlineLevel="0" collapsed="false">
      <c r="A36" s="4" t="s">
        <v>313</v>
      </c>
      <c r="B36" s="4" t="s">
        <v>406</v>
      </c>
      <c r="C36" s="4" t="s">
        <v>407</v>
      </c>
      <c r="D36" s="4" t="s">
        <v>233</v>
      </c>
      <c r="E36" s="4" t="s">
        <v>408</v>
      </c>
      <c r="F36" s="4" t="s">
        <v>409</v>
      </c>
      <c r="G36" s="4" t="s">
        <v>410</v>
      </c>
      <c r="H36" s="5" t="n">
        <v>0.0012</v>
      </c>
      <c r="I36" s="4" t="s">
        <v>58</v>
      </c>
      <c r="J36" s="4" t="s">
        <v>303</v>
      </c>
      <c r="K36" s="4" t="s">
        <v>331</v>
      </c>
      <c r="L36" s="4"/>
    </row>
    <row r="37" customFormat="false" ht="23.85" hidden="false" customHeight="false" outlineLevel="0" collapsed="false">
      <c r="A37" s="4" t="s">
        <v>313</v>
      </c>
      <c r="B37" s="4" t="s">
        <v>411</v>
      </c>
      <c r="C37" s="4" t="s">
        <v>412</v>
      </c>
      <c r="D37" s="4" t="s">
        <v>233</v>
      </c>
      <c r="E37" s="4" t="s">
        <v>413</v>
      </c>
      <c r="F37" s="4" t="s">
        <v>375</v>
      </c>
      <c r="G37" s="4" t="s">
        <v>414</v>
      </c>
      <c r="H37" s="5" t="n">
        <v>0.0012</v>
      </c>
      <c r="I37" s="4" t="s">
        <v>58</v>
      </c>
      <c r="J37" s="4" t="s">
        <v>303</v>
      </c>
      <c r="K37" s="4" t="s">
        <v>331</v>
      </c>
      <c r="L37" s="4"/>
    </row>
    <row r="38" customFormat="false" ht="23.85" hidden="false" customHeight="false" outlineLevel="0" collapsed="false">
      <c r="A38" s="4" t="s">
        <v>313</v>
      </c>
      <c r="B38" s="4" t="s">
        <v>415</v>
      </c>
      <c r="C38" s="4" t="s">
        <v>416</v>
      </c>
      <c r="D38" s="4" t="s">
        <v>233</v>
      </c>
      <c r="E38" s="4" t="s">
        <v>417</v>
      </c>
      <c r="F38" s="4" t="s">
        <v>294</v>
      </c>
      <c r="G38" s="4" t="s">
        <v>159</v>
      </c>
      <c r="H38" s="5" t="n">
        <v>0.002</v>
      </c>
      <c r="I38" s="4" t="s">
        <v>150</v>
      </c>
      <c r="J38" s="4" t="s">
        <v>303</v>
      </c>
      <c r="K38" s="4" t="s">
        <v>418</v>
      </c>
      <c r="L38" s="4"/>
    </row>
    <row r="39" customFormat="false" ht="23.85" hidden="false" customHeight="false" outlineLevel="0" collapsed="false">
      <c r="A39" s="4" t="s">
        <v>313</v>
      </c>
      <c r="B39" s="4" t="s">
        <v>419</v>
      </c>
      <c r="C39" s="4" t="s">
        <v>420</v>
      </c>
      <c r="D39" s="4" t="s">
        <v>233</v>
      </c>
      <c r="E39" s="4" t="s">
        <v>421</v>
      </c>
      <c r="F39" s="4" t="s">
        <v>422</v>
      </c>
      <c r="G39" s="4" t="s">
        <v>252</v>
      </c>
      <c r="H39" s="5" t="n">
        <v>0.001</v>
      </c>
      <c r="I39" s="4" t="s">
        <v>58</v>
      </c>
      <c r="J39" s="4" t="s">
        <v>303</v>
      </c>
      <c r="K39" s="4" t="s">
        <v>331</v>
      </c>
      <c r="L39" s="4"/>
    </row>
    <row r="40" customFormat="false" ht="23.85" hidden="false" customHeight="false" outlineLevel="0" collapsed="false">
      <c r="A40" s="4" t="s">
        <v>313</v>
      </c>
      <c r="B40" s="4" t="s">
        <v>423</v>
      </c>
      <c r="C40" s="4" t="s">
        <v>424</v>
      </c>
      <c r="D40" s="4" t="s">
        <v>233</v>
      </c>
      <c r="E40" s="4" t="s">
        <v>425</v>
      </c>
      <c r="F40" s="4" t="s">
        <v>426</v>
      </c>
      <c r="G40" s="4" t="s">
        <v>427</v>
      </c>
      <c r="H40" s="5" t="n">
        <v>0.0018</v>
      </c>
      <c r="I40" s="4" t="s">
        <v>58</v>
      </c>
      <c r="J40" s="4" t="s">
        <v>303</v>
      </c>
      <c r="K40" s="4" t="s">
        <v>331</v>
      </c>
      <c r="L40" s="4"/>
    </row>
    <row r="41" customFormat="false" ht="23.85" hidden="false" customHeight="false" outlineLevel="0" collapsed="false">
      <c r="A41" s="4" t="s">
        <v>313</v>
      </c>
      <c r="B41" s="4" t="s">
        <v>428</v>
      </c>
      <c r="C41" s="4" t="s">
        <v>429</v>
      </c>
      <c r="D41" s="4" t="s">
        <v>233</v>
      </c>
      <c r="E41" s="4" t="s">
        <v>430</v>
      </c>
      <c r="F41" s="4" t="s">
        <v>431</v>
      </c>
      <c r="G41" s="4" t="s">
        <v>432</v>
      </c>
      <c r="H41" s="5" t="n">
        <v>0.0012</v>
      </c>
      <c r="I41" s="4" t="s">
        <v>58</v>
      </c>
      <c r="J41" s="4" t="s">
        <v>303</v>
      </c>
      <c r="K41" s="4" t="s">
        <v>331</v>
      </c>
      <c r="L41" s="4"/>
    </row>
    <row r="42" customFormat="false" ht="23.85" hidden="false" customHeight="false" outlineLevel="0" collapsed="false">
      <c r="A42" s="4" t="s">
        <v>313</v>
      </c>
      <c r="B42" s="4" t="s">
        <v>433</v>
      </c>
      <c r="C42" s="4" t="s">
        <v>434</v>
      </c>
      <c r="D42" s="4" t="s">
        <v>435</v>
      </c>
      <c r="E42" s="4" t="s">
        <v>436</v>
      </c>
      <c r="F42" s="4" t="s">
        <v>131</v>
      </c>
      <c r="G42" s="4" t="s">
        <v>437</v>
      </c>
      <c r="H42" s="5" t="n">
        <v>0.0021</v>
      </c>
      <c r="I42" s="4" t="s">
        <v>58</v>
      </c>
      <c r="J42" s="4" t="s">
        <v>303</v>
      </c>
      <c r="K42" s="4" t="s">
        <v>304</v>
      </c>
      <c r="L42" s="4"/>
    </row>
    <row r="43" customFormat="false" ht="23.85" hidden="false" customHeight="false" outlineLevel="0" collapsed="false">
      <c r="A43" s="4" t="s">
        <v>313</v>
      </c>
      <c r="B43" s="4" t="s">
        <v>438</v>
      </c>
      <c r="C43" s="4" t="s">
        <v>439</v>
      </c>
      <c r="D43" s="4" t="s">
        <v>435</v>
      </c>
      <c r="E43" s="4" t="s">
        <v>440</v>
      </c>
      <c r="F43" s="4" t="s">
        <v>441</v>
      </c>
      <c r="G43" s="4" t="s">
        <v>442</v>
      </c>
      <c r="H43" s="5" t="n">
        <v>0.0026</v>
      </c>
      <c r="I43" s="4" t="s">
        <v>58</v>
      </c>
      <c r="J43" s="4" t="s">
        <v>303</v>
      </c>
      <c r="K43" s="4" t="s">
        <v>304</v>
      </c>
      <c r="L43" s="4"/>
    </row>
    <row r="44" customFormat="false" ht="23.85" hidden="false" customHeight="false" outlineLevel="0" collapsed="false">
      <c r="A44" s="4" t="s">
        <v>313</v>
      </c>
      <c r="B44" s="4" t="s">
        <v>443</v>
      </c>
      <c r="C44" s="4" t="s">
        <v>444</v>
      </c>
      <c r="D44" s="4" t="s">
        <v>435</v>
      </c>
      <c r="E44" s="4" t="s">
        <v>445</v>
      </c>
      <c r="F44" s="4" t="s">
        <v>380</v>
      </c>
      <c r="G44" s="4" t="s">
        <v>446</v>
      </c>
      <c r="H44" s="5" t="n">
        <v>0.0026</v>
      </c>
      <c r="I44" s="4" t="s">
        <v>58</v>
      </c>
      <c r="J44" s="4" t="s">
        <v>303</v>
      </c>
      <c r="K44" s="4" t="s">
        <v>304</v>
      </c>
      <c r="L44" s="4"/>
    </row>
    <row r="45" customFormat="false" ht="23.85" hidden="false" customHeight="false" outlineLevel="0" collapsed="false">
      <c r="A45" s="4" t="s">
        <v>313</v>
      </c>
      <c r="B45" s="4" t="s">
        <v>447</v>
      </c>
      <c r="C45" s="4" t="s">
        <v>448</v>
      </c>
      <c r="D45" s="4" t="s">
        <v>435</v>
      </c>
      <c r="E45" s="4" t="s">
        <v>449</v>
      </c>
      <c r="F45" s="4" t="s">
        <v>450</v>
      </c>
      <c r="G45" s="4" t="s">
        <v>410</v>
      </c>
      <c r="H45" s="5" t="n">
        <v>0.0031</v>
      </c>
      <c r="I45" s="4" t="s">
        <v>150</v>
      </c>
      <c r="J45" s="4" t="s">
        <v>303</v>
      </c>
      <c r="K45" s="4" t="s">
        <v>304</v>
      </c>
      <c r="L45" s="4"/>
    </row>
    <row r="46" customFormat="false" ht="23.85" hidden="false" customHeight="false" outlineLevel="0" collapsed="false">
      <c r="A46" s="4" t="s">
        <v>313</v>
      </c>
      <c r="B46" s="4" t="s">
        <v>451</v>
      </c>
      <c r="C46" s="4" t="s">
        <v>452</v>
      </c>
      <c r="D46" s="4" t="s">
        <v>435</v>
      </c>
      <c r="E46" s="4" t="s">
        <v>453</v>
      </c>
      <c r="F46" s="4" t="s">
        <v>454</v>
      </c>
      <c r="G46" s="4" t="s">
        <v>410</v>
      </c>
      <c r="H46" s="5" t="n">
        <v>0.0031</v>
      </c>
      <c r="I46" s="4" t="s">
        <v>58</v>
      </c>
      <c r="J46" s="4" t="s">
        <v>303</v>
      </c>
      <c r="K46" s="4" t="s">
        <v>304</v>
      </c>
      <c r="L46" s="4"/>
    </row>
    <row r="47" customFormat="false" ht="23.85" hidden="false" customHeight="false" outlineLevel="0" collapsed="false">
      <c r="A47" s="4" t="s">
        <v>313</v>
      </c>
      <c r="B47" s="4" t="s">
        <v>455</v>
      </c>
      <c r="C47" s="4" t="s">
        <v>456</v>
      </c>
      <c r="D47" s="4" t="s">
        <v>435</v>
      </c>
      <c r="E47" s="4" t="s">
        <v>457</v>
      </c>
      <c r="F47" s="4" t="s">
        <v>375</v>
      </c>
      <c r="G47" s="4" t="s">
        <v>414</v>
      </c>
      <c r="H47" s="5" t="n">
        <v>0.0031</v>
      </c>
      <c r="I47" s="4" t="s">
        <v>58</v>
      </c>
      <c r="J47" s="4" t="s">
        <v>303</v>
      </c>
      <c r="K47" s="4" t="s">
        <v>304</v>
      </c>
      <c r="L47" s="4"/>
    </row>
    <row r="48" customFormat="false" ht="23.85" hidden="false" customHeight="false" outlineLevel="0" collapsed="false">
      <c r="A48" s="4" t="s">
        <v>313</v>
      </c>
      <c r="B48" s="4" t="s">
        <v>458</v>
      </c>
      <c r="C48" s="4" t="s">
        <v>459</v>
      </c>
      <c r="D48" s="4" t="s">
        <v>435</v>
      </c>
      <c r="E48" s="4" t="s">
        <v>138</v>
      </c>
      <c r="F48" s="4" t="s">
        <v>139</v>
      </c>
      <c r="G48" s="4" t="s">
        <v>460</v>
      </c>
      <c r="H48" s="5" t="n">
        <v>0.0028</v>
      </c>
      <c r="I48" s="4" t="s">
        <v>58</v>
      </c>
      <c r="J48" s="4" t="s">
        <v>303</v>
      </c>
      <c r="K48" s="4" t="s">
        <v>304</v>
      </c>
      <c r="L48" s="4"/>
    </row>
    <row r="49" customFormat="false" ht="23.85" hidden="false" customHeight="false" outlineLevel="0" collapsed="false">
      <c r="A49" s="4" t="s">
        <v>313</v>
      </c>
      <c r="B49" s="4" t="s">
        <v>461</v>
      </c>
      <c r="C49" s="4" t="s">
        <v>462</v>
      </c>
      <c r="D49" s="4" t="s">
        <v>435</v>
      </c>
      <c r="E49" s="4" t="s">
        <v>388</v>
      </c>
      <c r="F49" s="4" t="s">
        <v>325</v>
      </c>
      <c r="G49" s="4" t="s">
        <v>463</v>
      </c>
      <c r="H49" s="5" t="n">
        <v>0.0036</v>
      </c>
      <c r="I49" s="4" t="s">
        <v>58</v>
      </c>
      <c r="J49" s="4" t="s">
        <v>303</v>
      </c>
      <c r="K49" s="4" t="s">
        <v>304</v>
      </c>
      <c r="L49" s="4"/>
    </row>
    <row r="50" customFormat="false" ht="23.85" hidden="false" customHeight="false" outlineLevel="0" collapsed="false">
      <c r="A50" s="4" t="s">
        <v>313</v>
      </c>
      <c r="B50" s="4" t="s">
        <v>464</v>
      </c>
      <c r="C50" s="4" t="s">
        <v>465</v>
      </c>
      <c r="D50" s="4" t="s">
        <v>435</v>
      </c>
      <c r="E50" s="4" t="s">
        <v>466</v>
      </c>
      <c r="F50" s="4" t="s">
        <v>422</v>
      </c>
      <c r="G50" s="4" t="s">
        <v>252</v>
      </c>
      <c r="H50" s="5" t="n">
        <v>0.0016</v>
      </c>
      <c r="I50" s="4" t="s">
        <v>150</v>
      </c>
      <c r="J50" s="4" t="s">
        <v>303</v>
      </c>
      <c r="K50" s="4" t="s">
        <v>402</v>
      </c>
      <c r="L50" s="4"/>
    </row>
    <row r="51" customFormat="false" ht="23.85" hidden="false" customHeight="false" outlineLevel="0" collapsed="false">
      <c r="A51" s="4" t="s">
        <v>313</v>
      </c>
      <c r="B51" s="4" t="s">
        <v>467</v>
      </c>
      <c r="C51" s="4" t="s">
        <v>468</v>
      </c>
      <c r="D51" s="4" t="s">
        <v>435</v>
      </c>
      <c r="E51" s="4" t="s">
        <v>430</v>
      </c>
      <c r="F51" s="4" t="s">
        <v>469</v>
      </c>
      <c r="G51" s="4" t="s">
        <v>470</v>
      </c>
      <c r="H51" s="5" t="n">
        <v>0.0016</v>
      </c>
      <c r="I51" s="4" t="s">
        <v>150</v>
      </c>
      <c r="J51" s="4" t="s">
        <v>303</v>
      </c>
      <c r="K51" s="4" t="s">
        <v>402</v>
      </c>
      <c r="L51" s="4"/>
    </row>
    <row r="52" customFormat="false" ht="23.85" hidden="false" customHeight="false" outlineLevel="0" collapsed="false">
      <c r="A52" s="4" t="s">
        <v>313</v>
      </c>
      <c r="B52" s="4" t="s">
        <v>471</v>
      </c>
      <c r="C52" s="4" t="s">
        <v>472</v>
      </c>
      <c r="D52" s="4" t="s">
        <v>435</v>
      </c>
      <c r="E52" s="4" t="s">
        <v>473</v>
      </c>
      <c r="F52" s="4" t="s">
        <v>474</v>
      </c>
      <c r="G52" s="4" t="s">
        <v>475</v>
      </c>
      <c r="H52" s="5" t="n">
        <v>0.003</v>
      </c>
      <c r="I52" s="4" t="s">
        <v>58</v>
      </c>
      <c r="J52" s="4" t="s">
        <v>303</v>
      </c>
      <c r="K52" s="4" t="s">
        <v>304</v>
      </c>
      <c r="L52" s="4"/>
    </row>
    <row r="53" customFormat="false" ht="23.85" hidden="false" customHeight="false" outlineLevel="0" collapsed="false">
      <c r="A53" s="4" t="s">
        <v>313</v>
      </c>
      <c r="B53" s="4" t="s">
        <v>476</v>
      </c>
      <c r="C53" s="4" t="s">
        <v>477</v>
      </c>
      <c r="D53" s="4" t="s">
        <v>478</v>
      </c>
      <c r="E53" s="4" t="s">
        <v>479</v>
      </c>
      <c r="F53" s="4" t="s">
        <v>480</v>
      </c>
      <c r="G53" s="4" t="s">
        <v>481</v>
      </c>
      <c r="H53" s="5" t="n">
        <v>0.0024</v>
      </c>
      <c r="I53" s="4" t="s">
        <v>150</v>
      </c>
      <c r="J53" s="4" t="s">
        <v>303</v>
      </c>
      <c r="K53" s="4" t="s">
        <v>304</v>
      </c>
      <c r="L53" s="4"/>
    </row>
    <row r="54" customFormat="false" ht="23.85" hidden="false" customHeight="false" outlineLevel="0" collapsed="false">
      <c r="A54" s="4" t="s">
        <v>313</v>
      </c>
      <c r="B54" s="4" t="s">
        <v>482</v>
      </c>
      <c r="C54" s="4" t="s">
        <v>483</v>
      </c>
      <c r="D54" s="4" t="s">
        <v>484</v>
      </c>
      <c r="E54" s="4" t="s">
        <v>485</v>
      </c>
      <c r="F54" s="4" t="s">
        <v>486</v>
      </c>
      <c r="G54" s="4" t="s">
        <v>487</v>
      </c>
      <c r="H54" s="5" t="n">
        <v>0.0029</v>
      </c>
      <c r="I54" s="4" t="s">
        <v>150</v>
      </c>
      <c r="J54" s="4" t="s">
        <v>303</v>
      </c>
      <c r="K54" s="4" t="s">
        <v>304</v>
      </c>
      <c r="L54" s="4"/>
    </row>
    <row r="55" customFormat="false" ht="23.85" hidden="false" customHeight="false" outlineLevel="0" collapsed="false">
      <c r="A55" s="4" t="s">
        <v>313</v>
      </c>
      <c r="B55" s="4" t="s">
        <v>488</v>
      </c>
      <c r="C55" s="4" t="s">
        <v>489</v>
      </c>
      <c r="D55" s="4" t="s">
        <v>292</v>
      </c>
      <c r="E55" s="4" t="s">
        <v>490</v>
      </c>
      <c r="F55" s="4" t="s">
        <v>131</v>
      </c>
      <c r="G55" s="4" t="s">
        <v>491</v>
      </c>
      <c r="H55" s="5" t="n">
        <v>0.001</v>
      </c>
      <c r="I55" s="4" t="s">
        <v>150</v>
      </c>
      <c r="J55" s="4" t="s">
        <v>303</v>
      </c>
      <c r="K55" s="4" t="s">
        <v>331</v>
      </c>
      <c r="L55" s="4"/>
    </row>
    <row r="56" customFormat="false" ht="23.85" hidden="false" customHeight="false" outlineLevel="0" collapsed="false">
      <c r="A56" s="4" t="s">
        <v>313</v>
      </c>
      <c r="B56" s="4" t="s">
        <v>492</v>
      </c>
      <c r="C56" s="4" t="s">
        <v>493</v>
      </c>
      <c r="D56" s="4" t="s">
        <v>292</v>
      </c>
      <c r="E56" s="4" t="s">
        <v>494</v>
      </c>
      <c r="F56" s="4" t="s">
        <v>131</v>
      </c>
      <c r="G56" s="4" t="s">
        <v>495</v>
      </c>
      <c r="H56" s="5" t="n">
        <v>0.002</v>
      </c>
      <c r="I56" s="4" t="s">
        <v>150</v>
      </c>
      <c r="J56" s="4" t="s">
        <v>303</v>
      </c>
      <c r="K56" s="4" t="s">
        <v>496</v>
      </c>
      <c r="L56" s="4"/>
    </row>
    <row r="57" customFormat="false" ht="23.85" hidden="false" customHeight="false" outlineLevel="0" collapsed="false">
      <c r="A57" s="4" t="s">
        <v>313</v>
      </c>
      <c r="B57" s="4" t="s">
        <v>497</v>
      </c>
      <c r="C57" s="4" t="s">
        <v>498</v>
      </c>
      <c r="D57" s="4" t="s">
        <v>499</v>
      </c>
      <c r="E57" s="4" t="s">
        <v>500</v>
      </c>
      <c r="F57" s="4" t="s">
        <v>501</v>
      </c>
      <c r="G57" s="4" t="s">
        <v>159</v>
      </c>
      <c r="H57" s="5" t="n">
        <v>0.0009</v>
      </c>
      <c r="I57" s="4" t="s">
        <v>58</v>
      </c>
      <c r="J57" s="4" t="s">
        <v>303</v>
      </c>
      <c r="K57" s="4" t="s">
        <v>502</v>
      </c>
      <c r="L57" s="4"/>
    </row>
    <row r="58" customFormat="false" ht="23.85" hidden="false" customHeight="false" outlineLevel="0" collapsed="false">
      <c r="A58" s="4" t="s">
        <v>313</v>
      </c>
      <c r="B58" s="4" t="s">
        <v>503</v>
      </c>
      <c r="C58" s="4" t="s">
        <v>504</v>
      </c>
      <c r="D58" s="4" t="s">
        <v>499</v>
      </c>
      <c r="E58" s="4" t="s">
        <v>505</v>
      </c>
      <c r="F58" s="4" t="s">
        <v>506</v>
      </c>
      <c r="G58" s="4" t="s">
        <v>507</v>
      </c>
      <c r="H58" s="5" t="n">
        <v>0.001</v>
      </c>
      <c r="I58" s="4" t="s">
        <v>58</v>
      </c>
      <c r="J58" s="4" t="s">
        <v>303</v>
      </c>
      <c r="K58" s="4" t="s">
        <v>304</v>
      </c>
      <c r="L58" s="4"/>
    </row>
    <row r="59" customFormat="false" ht="23.85" hidden="false" customHeight="false" outlineLevel="0" collapsed="false">
      <c r="A59" s="4" t="s">
        <v>313</v>
      </c>
      <c r="B59" s="4" t="s">
        <v>508</v>
      </c>
      <c r="C59" s="4" t="s">
        <v>509</v>
      </c>
      <c r="D59" s="4" t="s">
        <v>499</v>
      </c>
      <c r="E59" s="4" t="s">
        <v>510</v>
      </c>
      <c r="F59" s="4" t="s">
        <v>426</v>
      </c>
      <c r="G59" s="4" t="s">
        <v>511</v>
      </c>
      <c r="H59" s="5" t="n">
        <v>0.0012</v>
      </c>
      <c r="I59" s="4" t="s">
        <v>58</v>
      </c>
      <c r="J59" s="4" t="s">
        <v>303</v>
      </c>
      <c r="K59" s="4" t="s">
        <v>304</v>
      </c>
      <c r="L59" s="4"/>
    </row>
    <row r="60" customFormat="false" ht="23.85" hidden="false" customHeight="false" outlineLevel="0" collapsed="false">
      <c r="A60" s="4" t="s">
        <v>313</v>
      </c>
      <c r="B60" s="4" t="s">
        <v>512</v>
      </c>
      <c r="C60" s="4" t="s">
        <v>513</v>
      </c>
      <c r="D60" s="4" t="s">
        <v>514</v>
      </c>
      <c r="E60" s="4" t="s">
        <v>515</v>
      </c>
      <c r="F60" s="4" t="s">
        <v>235</v>
      </c>
      <c r="G60" s="4" t="s">
        <v>397</v>
      </c>
      <c r="H60" s="5" t="n">
        <v>0.0009</v>
      </c>
      <c r="I60" s="4" t="s">
        <v>58</v>
      </c>
      <c r="J60" s="4" t="s">
        <v>303</v>
      </c>
      <c r="K60" s="4" t="s">
        <v>304</v>
      </c>
      <c r="L60" s="4"/>
    </row>
    <row r="61" customFormat="false" ht="23.85" hidden="false" customHeight="false" outlineLevel="0" collapsed="false">
      <c r="A61" s="4" t="s">
        <v>313</v>
      </c>
      <c r="B61" s="4" t="s">
        <v>516</v>
      </c>
      <c r="C61" s="4" t="s">
        <v>517</v>
      </c>
      <c r="D61" s="4" t="s">
        <v>514</v>
      </c>
      <c r="E61" s="4" t="s">
        <v>518</v>
      </c>
      <c r="F61" s="4" t="s">
        <v>131</v>
      </c>
      <c r="G61" s="4" t="s">
        <v>519</v>
      </c>
      <c r="H61" s="5" t="n">
        <v>0.001</v>
      </c>
      <c r="I61" s="4" t="s">
        <v>58</v>
      </c>
      <c r="J61" s="4" t="s">
        <v>303</v>
      </c>
      <c r="K61" s="4" t="s">
        <v>331</v>
      </c>
      <c r="L61" s="4"/>
    </row>
    <row r="62" customFormat="false" ht="23.85" hidden="false" customHeight="false" outlineLevel="0" collapsed="false">
      <c r="A62" s="4" t="s">
        <v>313</v>
      </c>
      <c r="B62" s="4" t="s">
        <v>520</v>
      </c>
      <c r="C62" s="4" t="s">
        <v>521</v>
      </c>
      <c r="D62" s="4" t="s">
        <v>514</v>
      </c>
      <c r="E62" s="4" t="s">
        <v>522</v>
      </c>
      <c r="F62" s="4" t="s">
        <v>235</v>
      </c>
      <c r="G62" s="4" t="s">
        <v>345</v>
      </c>
      <c r="H62" s="5" t="n">
        <v>0.0007</v>
      </c>
      <c r="I62" s="4" t="s">
        <v>58</v>
      </c>
      <c r="J62" s="4" t="s">
        <v>303</v>
      </c>
      <c r="K62" s="4" t="s">
        <v>523</v>
      </c>
      <c r="L62" s="4"/>
    </row>
    <row r="63" customFormat="false" ht="23.85" hidden="false" customHeight="false" outlineLevel="0" collapsed="false">
      <c r="A63" s="4" t="s">
        <v>313</v>
      </c>
      <c r="B63" s="4" t="s">
        <v>524</v>
      </c>
      <c r="C63" s="4" t="s">
        <v>525</v>
      </c>
      <c r="D63" s="4" t="s">
        <v>514</v>
      </c>
      <c r="E63" s="4" t="s">
        <v>526</v>
      </c>
      <c r="F63" s="4" t="s">
        <v>139</v>
      </c>
      <c r="G63" s="4" t="s">
        <v>527</v>
      </c>
      <c r="H63" s="5" t="n">
        <v>0.0014</v>
      </c>
      <c r="I63" s="4" t="s">
        <v>150</v>
      </c>
      <c r="J63" s="4" t="s">
        <v>303</v>
      </c>
      <c r="K63" s="4" t="s">
        <v>304</v>
      </c>
      <c r="L63" s="4"/>
    </row>
    <row r="64" customFormat="false" ht="23.85" hidden="false" customHeight="false" outlineLevel="0" collapsed="false">
      <c r="A64" s="4" t="s">
        <v>313</v>
      </c>
      <c r="B64" s="4" t="s">
        <v>528</v>
      </c>
      <c r="C64" s="4" t="s">
        <v>529</v>
      </c>
      <c r="D64" s="4" t="s">
        <v>514</v>
      </c>
      <c r="E64" s="4" t="s">
        <v>530</v>
      </c>
      <c r="F64" s="4" t="s">
        <v>325</v>
      </c>
      <c r="G64" s="4" t="s">
        <v>389</v>
      </c>
      <c r="H64" s="5" t="n">
        <v>0.0015</v>
      </c>
      <c r="I64" s="4" t="s">
        <v>150</v>
      </c>
      <c r="J64" s="4" t="s">
        <v>303</v>
      </c>
      <c r="K64" s="4" t="s">
        <v>418</v>
      </c>
      <c r="L64" s="4"/>
    </row>
    <row r="65" customFormat="false" ht="23.85" hidden="false" customHeight="false" outlineLevel="0" collapsed="false">
      <c r="A65" s="4" t="s">
        <v>313</v>
      </c>
      <c r="B65" s="4" t="s">
        <v>531</v>
      </c>
      <c r="C65" s="4" t="s">
        <v>532</v>
      </c>
      <c r="D65" s="4" t="s">
        <v>514</v>
      </c>
      <c r="E65" s="4" t="s">
        <v>533</v>
      </c>
      <c r="F65" s="4" t="s">
        <v>325</v>
      </c>
      <c r="G65" s="4" t="s">
        <v>534</v>
      </c>
      <c r="H65" s="5" t="n">
        <v>0.0015</v>
      </c>
      <c r="I65" s="4" t="s">
        <v>58</v>
      </c>
      <c r="J65" s="4" t="s">
        <v>303</v>
      </c>
      <c r="K65" s="4" t="s">
        <v>304</v>
      </c>
      <c r="L65" s="4"/>
    </row>
    <row r="66" customFormat="false" ht="15" hidden="false" customHeight="false" outlineLevel="0" collapsed="false">
      <c r="A66" s="4" t="s">
        <v>535</v>
      </c>
      <c r="B66" s="4" t="s">
        <v>536</v>
      </c>
      <c r="C66" s="4" t="s">
        <v>537</v>
      </c>
      <c r="D66" s="4" t="s">
        <v>538</v>
      </c>
      <c r="E66" s="4" t="s">
        <v>539</v>
      </c>
      <c r="F66" s="4" t="s">
        <v>539</v>
      </c>
      <c r="G66" s="4" t="s">
        <v>540</v>
      </c>
      <c r="H66" s="5" t="n">
        <v>0.006</v>
      </c>
      <c r="I66" s="4" t="s">
        <v>150</v>
      </c>
      <c r="J66" s="4" t="s">
        <v>541</v>
      </c>
      <c r="K66" s="4" t="s">
        <v>542</v>
      </c>
      <c r="L66" s="4"/>
    </row>
    <row r="67" customFormat="false" ht="35.05" hidden="false" customHeight="false" outlineLevel="0" collapsed="false">
      <c r="A67" s="4" t="s">
        <v>535</v>
      </c>
      <c r="B67" s="4" t="s">
        <v>543</v>
      </c>
      <c r="C67" s="4" t="s">
        <v>544</v>
      </c>
      <c r="D67" s="4" t="s">
        <v>538</v>
      </c>
      <c r="E67" s="4" t="s">
        <v>545</v>
      </c>
      <c r="F67" s="4" t="s">
        <v>545</v>
      </c>
      <c r="G67" s="4" t="s">
        <v>546</v>
      </c>
      <c r="H67" s="5" t="n">
        <v>0.007</v>
      </c>
      <c r="I67" s="4" t="s">
        <v>150</v>
      </c>
      <c r="J67" s="4" t="s">
        <v>547</v>
      </c>
      <c r="K67" s="4" t="s">
        <v>542</v>
      </c>
      <c r="L67" s="4"/>
    </row>
    <row r="68" customFormat="false" ht="23.85" hidden="false" customHeight="false" outlineLevel="0" collapsed="false">
      <c r="A68" s="4" t="s">
        <v>535</v>
      </c>
      <c r="B68" s="4" t="s">
        <v>548</v>
      </c>
      <c r="C68" s="4" t="s">
        <v>549</v>
      </c>
      <c r="D68" s="4" t="s">
        <v>538</v>
      </c>
      <c r="E68" s="4" t="s">
        <v>550</v>
      </c>
      <c r="F68" s="4" t="s">
        <v>550</v>
      </c>
      <c r="G68" s="4" t="s">
        <v>551</v>
      </c>
      <c r="H68" s="5" t="n">
        <v>0.0056</v>
      </c>
      <c r="I68" s="4" t="s">
        <v>150</v>
      </c>
      <c r="J68" s="4" t="s">
        <v>541</v>
      </c>
      <c r="K68" s="4" t="s">
        <v>542</v>
      </c>
      <c r="L68" s="4"/>
    </row>
    <row r="69" customFormat="false" ht="23.85" hidden="false" customHeight="false" outlineLevel="0" collapsed="false">
      <c r="A69" s="4" t="s">
        <v>535</v>
      </c>
      <c r="B69" s="4" t="s">
        <v>552</v>
      </c>
      <c r="C69" s="4" t="s">
        <v>553</v>
      </c>
      <c r="D69" s="4" t="s">
        <v>538</v>
      </c>
      <c r="E69" s="4" t="s">
        <v>554</v>
      </c>
      <c r="F69" s="4" t="s">
        <v>554</v>
      </c>
      <c r="G69" s="4" t="s">
        <v>555</v>
      </c>
      <c r="H69" s="5" t="n">
        <v>0.0051</v>
      </c>
      <c r="I69" s="4" t="s">
        <v>150</v>
      </c>
      <c r="J69" s="4" t="s">
        <v>541</v>
      </c>
      <c r="K69" s="4" t="s">
        <v>542</v>
      </c>
      <c r="L69" s="4"/>
    </row>
    <row r="70" customFormat="false" ht="23.85" hidden="false" customHeight="false" outlineLevel="0" collapsed="false">
      <c r="A70" s="4" t="s">
        <v>535</v>
      </c>
      <c r="B70" s="4" t="s">
        <v>556</v>
      </c>
      <c r="C70" s="4" t="s">
        <v>557</v>
      </c>
      <c r="D70" s="4" t="s">
        <v>538</v>
      </c>
      <c r="E70" s="4" t="s">
        <v>558</v>
      </c>
      <c r="F70" s="4" t="s">
        <v>558</v>
      </c>
      <c r="G70" s="4" t="s">
        <v>559</v>
      </c>
      <c r="H70" s="5" t="n">
        <v>0.0056</v>
      </c>
      <c r="I70" s="4" t="s">
        <v>150</v>
      </c>
      <c r="J70" s="4" t="s">
        <v>541</v>
      </c>
      <c r="K70" s="4" t="s">
        <v>542</v>
      </c>
      <c r="L70" s="4"/>
    </row>
    <row r="71" customFormat="false" ht="15" hidden="false" customHeight="false" outlineLevel="0" collapsed="false">
      <c r="A71" s="4" t="s">
        <v>535</v>
      </c>
      <c r="B71" s="4" t="s">
        <v>560</v>
      </c>
      <c r="C71" s="4" t="s">
        <v>561</v>
      </c>
      <c r="D71" s="4" t="s">
        <v>562</v>
      </c>
      <c r="E71" s="4" t="s">
        <v>563</v>
      </c>
      <c r="F71" s="4" t="s">
        <v>563</v>
      </c>
      <c r="G71" s="4" t="s">
        <v>564</v>
      </c>
      <c r="H71" s="5" t="n">
        <v>0.005</v>
      </c>
      <c r="I71" s="4" t="s">
        <v>150</v>
      </c>
      <c r="J71" s="4" t="s">
        <v>541</v>
      </c>
      <c r="K71" s="4" t="s">
        <v>542</v>
      </c>
      <c r="L71" s="4"/>
    </row>
    <row r="72" customFormat="false" ht="23.85" hidden="false" customHeight="false" outlineLevel="0" collapsed="false">
      <c r="A72" s="4" t="s">
        <v>535</v>
      </c>
      <c r="B72" s="4" t="s">
        <v>565</v>
      </c>
      <c r="C72" s="4" t="s">
        <v>566</v>
      </c>
      <c r="D72" s="4" t="s">
        <v>562</v>
      </c>
      <c r="E72" s="4" t="s">
        <v>567</v>
      </c>
      <c r="F72" s="4" t="s">
        <v>567</v>
      </c>
      <c r="G72" s="4" t="s">
        <v>568</v>
      </c>
      <c r="H72" s="5" t="n">
        <v>0.0066</v>
      </c>
      <c r="I72" s="4" t="s">
        <v>150</v>
      </c>
      <c r="J72" s="4" t="s">
        <v>541</v>
      </c>
      <c r="K72" s="4" t="s">
        <v>542</v>
      </c>
      <c r="L72" s="4"/>
    </row>
    <row r="73" customFormat="false" ht="23.85" hidden="false" customHeight="false" outlineLevel="0" collapsed="false">
      <c r="A73" s="4" t="s">
        <v>535</v>
      </c>
      <c r="B73" s="4" t="s">
        <v>569</v>
      </c>
      <c r="C73" s="4" t="s">
        <v>570</v>
      </c>
      <c r="D73" s="4" t="s">
        <v>562</v>
      </c>
      <c r="E73" s="4" t="s">
        <v>571</v>
      </c>
      <c r="F73" s="4" t="s">
        <v>571</v>
      </c>
      <c r="G73" s="4" t="s">
        <v>572</v>
      </c>
      <c r="H73" s="5" t="n">
        <v>0.0068</v>
      </c>
      <c r="I73" s="4" t="s">
        <v>150</v>
      </c>
      <c r="J73" s="4" t="s">
        <v>573</v>
      </c>
      <c r="K73" s="4" t="s">
        <v>542</v>
      </c>
      <c r="L73" s="4"/>
    </row>
    <row r="74" customFormat="false" ht="15" hidden="false" customHeight="false" outlineLevel="0" collapsed="false">
      <c r="A74" s="4" t="s">
        <v>535</v>
      </c>
      <c r="B74" s="4" t="s">
        <v>574</v>
      </c>
      <c r="C74" s="4" t="s">
        <v>575</v>
      </c>
      <c r="D74" s="4" t="s">
        <v>562</v>
      </c>
      <c r="E74" s="4" t="s">
        <v>576</v>
      </c>
      <c r="F74" s="4" t="s">
        <v>576</v>
      </c>
      <c r="G74" s="4" t="s">
        <v>577</v>
      </c>
      <c r="H74" s="5" t="n">
        <v>0.005</v>
      </c>
      <c r="I74" s="4" t="s">
        <v>150</v>
      </c>
      <c r="J74" s="4" t="s">
        <v>541</v>
      </c>
      <c r="K74" s="4" t="s">
        <v>542</v>
      </c>
      <c r="L74" s="4"/>
    </row>
    <row r="75" customFormat="false" ht="23.85" hidden="false" customHeight="false" outlineLevel="0" collapsed="false">
      <c r="A75" s="4" t="s">
        <v>535</v>
      </c>
      <c r="B75" s="4" t="s">
        <v>578</v>
      </c>
      <c r="C75" s="4" t="s">
        <v>579</v>
      </c>
      <c r="D75" s="4" t="s">
        <v>562</v>
      </c>
      <c r="E75" s="4" t="s">
        <v>580</v>
      </c>
      <c r="F75" s="4" t="s">
        <v>580</v>
      </c>
      <c r="G75" s="4" t="s">
        <v>581</v>
      </c>
      <c r="H75" s="5" t="n">
        <v>0.005</v>
      </c>
      <c r="I75" s="4" t="s">
        <v>150</v>
      </c>
      <c r="J75" s="4" t="s">
        <v>582</v>
      </c>
      <c r="K75" s="4" t="s">
        <v>542</v>
      </c>
      <c r="L75" s="4"/>
    </row>
    <row r="76" customFormat="false" ht="23.85" hidden="false" customHeight="false" outlineLevel="0" collapsed="false">
      <c r="A76" s="4" t="s">
        <v>535</v>
      </c>
      <c r="B76" s="4" t="s">
        <v>583</v>
      </c>
      <c r="C76" s="4" t="s">
        <v>584</v>
      </c>
      <c r="D76" s="4" t="s">
        <v>354</v>
      </c>
      <c r="E76" s="4" t="s">
        <v>585</v>
      </c>
      <c r="F76" s="4" t="s">
        <v>585</v>
      </c>
      <c r="G76" s="4" t="s">
        <v>586</v>
      </c>
      <c r="H76" s="5" t="n">
        <v>0.0061</v>
      </c>
      <c r="I76" s="4" t="s">
        <v>150</v>
      </c>
      <c r="J76" s="4" t="s">
        <v>541</v>
      </c>
      <c r="K76" s="4" t="s">
        <v>542</v>
      </c>
      <c r="L76" s="4"/>
    </row>
    <row r="77" customFormat="false" ht="15" hidden="false" customHeight="false" outlineLevel="0" collapsed="false">
      <c r="A77" s="4" t="s">
        <v>535</v>
      </c>
      <c r="B77" s="4" t="s">
        <v>587</v>
      </c>
      <c r="C77" s="4" t="s">
        <v>588</v>
      </c>
      <c r="D77" s="4" t="s">
        <v>354</v>
      </c>
      <c r="E77" s="4" t="s">
        <v>589</v>
      </c>
      <c r="F77" s="4" t="s">
        <v>589</v>
      </c>
      <c r="G77" s="4" t="s">
        <v>590</v>
      </c>
      <c r="H77" s="5" t="n">
        <v>0.0075</v>
      </c>
      <c r="I77" s="4" t="s">
        <v>150</v>
      </c>
      <c r="J77" s="4" t="s">
        <v>541</v>
      </c>
      <c r="K77" s="4" t="s">
        <v>542</v>
      </c>
      <c r="L77" s="4"/>
    </row>
    <row r="78" customFormat="false" ht="15" hidden="false" customHeight="false" outlineLevel="0" collapsed="false">
      <c r="A78" s="4" t="s">
        <v>535</v>
      </c>
      <c r="B78" s="4" t="s">
        <v>591</v>
      </c>
      <c r="C78" s="4" t="s">
        <v>592</v>
      </c>
      <c r="D78" s="4" t="s">
        <v>354</v>
      </c>
      <c r="E78" s="4" t="s">
        <v>576</v>
      </c>
      <c r="F78" s="4" t="s">
        <v>576</v>
      </c>
      <c r="G78" s="4" t="s">
        <v>593</v>
      </c>
      <c r="H78" s="5" t="n">
        <v>0.0059</v>
      </c>
      <c r="I78" s="4" t="s">
        <v>150</v>
      </c>
      <c r="J78" s="4" t="s">
        <v>541</v>
      </c>
      <c r="K78" s="4" t="s">
        <v>542</v>
      </c>
      <c r="L78" s="4"/>
    </row>
    <row r="79" customFormat="false" ht="15" hidden="false" customHeight="false" outlineLevel="0" collapsed="false">
      <c r="A79" s="4" t="s">
        <v>535</v>
      </c>
      <c r="B79" s="4" t="s">
        <v>594</v>
      </c>
      <c r="C79" s="4" t="s">
        <v>595</v>
      </c>
      <c r="D79" s="4" t="s">
        <v>354</v>
      </c>
      <c r="E79" s="4" t="s">
        <v>596</v>
      </c>
      <c r="F79" s="4" t="s">
        <v>596</v>
      </c>
      <c r="G79" s="4" t="s">
        <v>597</v>
      </c>
      <c r="H79" s="5" t="n">
        <v>0.0075</v>
      </c>
      <c r="I79" s="4" t="s">
        <v>150</v>
      </c>
      <c r="J79" s="4" t="s">
        <v>541</v>
      </c>
      <c r="K79" s="4" t="s">
        <v>542</v>
      </c>
      <c r="L79" s="4"/>
    </row>
    <row r="80" customFormat="false" ht="23.85" hidden="false" customHeight="false" outlineLevel="0" collapsed="false">
      <c r="A80" s="4" t="s">
        <v>535</v>
      </c>
      <c r="B80" s="4" t="s">
        <v>598</v>
      </c>
      <c r="C80" s="4" t="s">
        <v>599</v>
      </c>
      <c r="D80" s="4" t="s">
        <v>354</v>
      </c>
      <c r="E80" s="4" t="s">
        <v>600</v>
      </c>
      <c r="F80" s="4" t="s">
        <v>600</v>
      </c>
      <c r="G80" s="4" t="s">
        <v>601</v>
      </c>
      <c r="H80" s="5" t="n">
        <v>0.0067</v>
      </c>
      <c r="I80" s="4" t="s">
        <v>150</v>
      </c>
      <c r="J80" s="4" t="s">
        <v>602</v>
      </c>
      <c r="K80" s="4" t="s">
        <v>542</v>
      </c>
      <c r="L80" s="4"/>
    </row>
    <row r="81" customFormat="false" ht="23.85" hidden="false" customHeight="false" outlineLevel="0" collapsed="false">
      <c r="A81" s="4" t="s">
        <v>535</v>
      </c>
      <c r="B81" s="4" t="s">
        <v>603</v>
      </c>
      <c r="C81" s="4" t="s">
        <v>604</v>
      </c>
      <c r="D81" s="4" t="s">
        <v>354</v>
      </c>
      <c r="E81" s="4" t="s">
        <v>605</v>
      </c>
      <c r="F81" s="4" t="s">
        <v>605</v>
      </c>
      <c r="G81" s="4" t="s">
        <v>606</v>
      </c>
      <c r="H81" s="5" t="n">
        <v>0.0062</v>
      </c>
      <c r="I81" s="4" t="s">
        <v>150</v>
      </c>
      <c r="J81" s="4" t="s">
        <v>541</v>
      </c>
      <c r="K81" s="4" t="s">
        <v>542</v>
      </c>
      <c r="L81" s="4"/>
    </row>
    <row r="82" customFormat="false" ht="15" hidden="false" customHeight="false" outlineLevel="0" collapsed="false">
      <c r="A82" s="4" t="s">
        <v>535</v>
      </c>
      <c r="B82" s="4" t="s">
        <v>607</v>
      </c>
      <c r="C82" s="4" t="s">
        <v>608</v>
      </c>
      <c r="D82" s="4" t="s">
        <v>233</v>
      </c>
      <c r="E82" s="4" t="s">
        <v>589</v>
      </c>
      <c r="F82" s="4" t="s">
        <v>589</v>
      </c>
      <c r="G82" s="4" t="s">
        <v>609</v>
      </c>
      <c r="H82" s="5" t="n">
        <v>0.0039</v>
      </c>
      <c r="I82" s="4" t="s">
        <v>58</v>
      </c>
      <c r="J82" s="4" t="s">
        <v>541</v>
      </c>
      <c r="K82" s="4" t="s">
        <v>542</v>
      </c>
      <c r="L82" s="4"/>
    </row>
    <row r="83" customFormat="false" ht="15" hidden="false" customHeight="false" outlineLevel="0" collapsed="false">
      <c r="A83" s="4" t="s">
        <v>535</v>
      </c>
      <c r="B83" s="4" t="s">
        <v>610</v>
      </c>
      <c r="C83" s="4" t="s">
        <v>611</v>
      </c>
      <c r="D83" s="4" t="s">
        <v>233</v>
      </c>
      <c r="E83" s="4" t="s">
        <v>571</v>
      </c>
      <c r="F83" s="4" t="s">
        <v>571</v>
      </c>
      <c r="G83" s="4" t="s">
        <v>612</v>
      </c>
      <c r="H83" s="5" t="n">
        <v>0.0047</v>
      </c>
      <c r="I83" s="4" t="s">
        <v>150</v>
      </c>
      <c r="J83" s="4" t="s">
        <v>541</v>
      </c>
      <c r="K83" s="4" t="s">
        <v>542</v>
      </c>
      <c r="L83" s="4"/>
    </row>
    <row r="84" customFormat="false" ht="35.05" hidden="false" customHeight="false" outlineLevel="0" collapsed="false">
      <c r="A84" s="4" t="s">
        <v>535</v>
      </c>
      <c r="B84" s="4" t="s">
        <v>613</v>
      </c>
      <c r="C84" s="4" t="s">
        <v>614</v>
      </c>
      <c r="D84" s="4" t="s">
        <v>615</v>
      </c>
      <c r="E84" s="4" t="s">
        <v>616</v>
      </c>
      <c r="F84" s="4" t="s">
        <v>616</v>
      </c>
      <c r="G84" s="4" t="s">
        <v>617</v>
      </c>
      <c r="H84" s="5" t="n">
        <v>0.0065</v>
      </c>
      <c r="I84" s="4" t="s">
        <v>150</v>
      </c>
      <c r="J84" s="4" t="s">
        <v>618</v>
      </c>
      <c r="K84" s="4" t="s">
        <v>542</v>
      </c>
      <c r="L84" s="4"/>
    </row>
    <row r="85" customFormat="false" ht="23.85" hidden="false" customHeight="false" outlineLevel="0" collapsed="false">
      <c r="A85" s="4" t="s">
        <v>535</v>
      </c>
      <c r="B85" s="4" t="s">
        <v>619</v>
      </c>
      <c r="C85" s="4" t="s">
        <v>620</v>
      </c>
      <c r="D85" s="4" t="s">
        <v>292</v>
      </c>
      <c r="E85" s="4" t="s">
        <v>621</v>
      </c>
      <c r="F85" s="4" t="s">
        <v>621</v>
      </c>
      <c r="G85" s="4" t="s">
        <v>622</v>
      </c>
      <c r="H85" s="5" t="n">
        <v>0.0045</v>
      </c>
      <c r="I85" s="4" t="s">
        <v>150</v>
      </c>
      <c r="J85" s="4" t="s">
        <v>541</v>
      </c>
      <c r="K85" s="4" t="s">
        <v>542</v>
      </c>
      <c r="L85" s="4"/>
    </row>
    <row r="87" customFormat="false" ht="15" hidden="false" customHeight="false" outlineLevel="0" collapsed="false">
      <c r="A87" s="10" t="s">
        <v>623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7.35" hidden="false" customHeight="false" outlineLevel="0" collapsed="false">
      <c r="A1" s="11" t="s">
        <v>624</v>
      </c>
    </row>
    <row r="2" customFormat="false" ht="15" hidden="false" customHeight="false" outlineLevel="0" collapsed="false">
      <c r="A2" s="12" t="s">
        <v>50</v>
      </c>
    </row>
    <row r="3" customFormat="false" ht="15" hidden="false" customHeight="false" outlineLevel="0" collapsed="false">
      <c r="A3" s="13" t="s">
        <v>625</v>
      </c>
    </row>
    <row r="4" customFormat="false" ht="15" hidden="false" customHeight="false" outlineLevel="0" collapsed="false">
      <c r="A4" s="14" t="s">
        <v>626</v>
      </c>
    </row>
    <row r="5" customFormat="false" ht="15" hidden="false" customHeight="false" outlineLevel="0" collapsed="false">
      <c r="A5" s="14" t="s">
        <v>627</v>
      </c>
    </row>
    <row r="6" customFormat="false" ht="15" hidden="false" customHeight="false" outlineLevel="0" collapsed="false">
      <c r="A6" s="14" t="s">
        <v>628</v>
      </c>
    </row>
    <row r="7" customFormat="false" ht="15" hidden="false" customHeight="false" outlineLevel="0" collapsed="false">
      <c r="A7" s="14" t="s">
        <v>629</v>
      </c>
    </row>
    <row r="8" customFormat="false" ht="15" hidden="false" customHeight="false" outlineLevel="0" collapsed="false">
      <c r="A8" s="14" t="s">
        <v>630</v>
      </c>
    </row>
    <row r="9" customFormat="false" ht="15" hidden="false" customHeight="false" outlineLevel="0" collapsed="false">
      <c r="A9" s="14" t="s">
        <v>631</v>
      </c>
    </row>
    <row r="10" customFormat="false" ht="15" hidden="false" customHeight="false" outlineLevel="0" collapsed="false">
      <c r="A10" s="13" t="s">
        <v>632</v>
      </c>
    </row>
    <row r="11" customFormat="false" ht="15" hidden="false" customHeight="false" outlineLevel="0" collapsed="false">
      <c r="A11" s="14" t="s">
        <v>633</v>
      </c>
    </row>
    <row r="12" customFormat="false" ht="15" hidden="false" customHeight="false" outlineLevel="0" collapsed="false">
      <c r="A12" s="14" t="s">
        <v>634</v>
      </c>
    </row>
    <row r="13" customFormat="false" ht="15" hidden="false" customHeight="false" outlineLevel="0" collapsed="false">
      <c r="A13" s="14" t="s">
        <v>635</v>
      </c>
    </row>
    <row r="14" customFormat="false" ht="15" hidden="false" customHeight="false" outlineLevel="0" collapsed="false">
      <c r="A14" s="14" t="s">
        <v>636</v>
      </c>
    </row>
    <row r="15" customFormat="false" ht="15" hidden="false" customHeight="false" outlineLevel="0" collapsed="false">
      <c r="A15" s="15" t="s">
        <v>637</v>
      </c>
    </row>
    <row r="16" customFormat="false" ht="15" hidden="false" customHeight="false" outlineLevel="0" collapsed="false">
      <c r="A16" s="13" t="s">
        <v>638</v>
      </c>
    </row>
    <row r="17" customFormat="false" ht="15" hidden="false" customHeight="false" outlineLevel="0" collapsed="false">
      <c r="A17" s="14" t="s">
        <v>639</v>
      </c>
    </row>
    <row r="18" customFormat="false" ht="15" hidden="false" customHeight="false" outlineLevel="0" collapsed="false">
      <c r="A18" s="14" t="s">
        <v>640</v>
      </c>
    </row>
    <row r="19" customFormat="false" ht="15" hidden="false" customHeight="false" outlineLevel="0" collapsed="false">
      <c r="A19" s="14" t="s">
        <v>641</v>
      </c>
    </row>
    <row r="20" customFormat="false" ht="15" hidden="false" customHeight="false" outlineLevel="0" collapsed="false">
      <c r="A20" s="14" t="s">
        <v>642</v>
      </c>
    </row>
    <row r="21" customFormat="false" ht="15" hidden="false" customHeight="false" outlineLevel="0" collapsed="false">
      <c r="A21" s="13" t="s">
        <v>643</v>
      </c>
    </row>
    <row r="22" customFormat="false" ht="15" hidden="false" customHeight="false" outlineLevel="0" collapsed="false">
      <c r="A22" s="14" t="s">
        <v>644</v>
      </c>
    </row>
    <row r="23" customFormat="false" ht="15" hidden="false" customHeight="false" outlineLevel="0" collapsed="false">
      <c r="A23" s="14" t="s">
        <v>645</v>
      </c>
    </row>
    <row r="24" customFormat="false" ht="15" hidden="false" customHeight="false" outlineLevel="0" collapsed="false">
      <c r="A24" s="14" t="s">
        <v>646</v>
      </c>
    </row>
    <row r="25" customFormat="false" ht="15" hidden="false" customHeight="false" outlineLevel="0" collapsed="false">
      <c r="A25" s="14" t="s">
        <v>647</v>
      </c>
    </row>
    <row r="26" customFormat="false" ht="15" hidden="false" customHeight="false" outlineLevel="0" collapsed="false">
      <c r="A26" s="13" t="s">
        <v>648</v>
      </c>
    </row>
    <row r="27" customFormat="false" ht="15" hidden="false" customHeight="false" outlineLevel="0" collapsed="false">
      <c r="A27" s="14" t="s">
        <v>649</v>
      </c>
    </row>
    <row r="28" customFormat="false" ht="15" hidden="false" customHeight="false" outlineLevel="0" collapsed="false">
      <c r="A28" s="14" t="s">
        <v>650</v>
      </c>
    </row>
    <row r="29" customFormat="false" ht="15" hidden="false" customHeight="false" outlineLevel="0" collapsed="false">
      <c r="A29" s="13" t="s">
        <v>651</v>
      </c>
    </row>
    <row r="30" customFormat="false" ht="15" hidden="false" customHeight="false" outlineLevel="0" collapsed="false">
      <c r="A30" s="14" t="s">
        <v>652</v>
      </c>
    </row>
    <row r="31" customFormat="false" ht="15" hidden="false" customHeight="false" outlineLevel="0" collapsed="false">
      <c r="A31" s="14" t="s">
        <v>653</v>
      </c>
    </row>
    <row r="32" customFormat="false" ht="15" hidden="false" customHeight="false" outlineLevel="0" collapsed="false">
      <c r="A32" s="14" t="s">
        <v>654</v>
      </c>
    </row>
    <row r="33" customFormat="false" ht="15" hidden="false" customHeight="false" outlineLevel="0" collapsed="false">
      <c r="A33" s="13" t="s">
        <v>655</v>
      </c>
    </row>
    <row r="34" customFormat="false" ht="15" hidden="false" customHeight="false" outlineLevel="0" collapsed="false">
      <c r="A34" s="14" t="s">
        <v>656</v>
      </c>
    </row>
    <row r="35" customFormat="false" ht="15" hidden="false" customHeight="false" outlineLevel="0" collapsed="false">
      <c r="A35" s="13" t="s">
        <v>657</v>
      </c>
    </row>
    <row r="36" customFormat="false" ht="15" hidden="false" customHeight="false" outlineLevel="0" collapsed="false">
      <c r="A36" s="14" t="s">
        <v>658</v>
      </c>
    </row>
    <row r="37" customFormat="false" ht="15" hidden="false" customHeight="false" outlineLevel="0" collapsed="false">
      <c r="A37" s="14" t="s">
        <v>659</v>
      </c>
    </row>
    <row r="38" customFormat="false" ht="15" hidden="false" customHeight="false" outlineLevel="0" collapsed="false">
      <c r="A38" s="14" t="s">
        <v>660</v>
      </c>
    </row>
    <row r="39" customFormat="false" ht="15" hidden="false" customHeight="false" outlineLevel="0" collapsed="false">
      <c r="A39" s="14" t="s">
        <v>661</v>
      </c>
    </row>
    <row r="40" customFormat="false" ht="15" hidden="false" customHeight="false" outlineLevel="0" collapsed="false">
      <c r="A40" s="14" t="s">
        <v>662</v>
      </c>
    </row>
    <row r="41" customFormat="false" ht="15" hidden="false" customHeight="false" outlineLevel="0" collapsed="false">
      <c r="A41" s="14" t="s">
        <v>663</v>
      </c>
    </row>
    <row r="42" customFormat="false" ht="15" hidden="false" customHeight="false" outlineLevel="0" collapsed="false">
      <c r="A42" s="14" t="s">
        <v>664</v>
      </c>
    </row>
    <row r="43" customFormat="false" ht="15" hidden="false" customHeight="false" outlineLevel="0" collapsed="false">
      <c r="A43" s="14" t="s">
        <v>665</v>
      </c>
    </row>
    <row r="44" customFormat="false" ht="15" hidden="false" customHeight="false" outlineLevel="0" collapsed="false">
      <c r="A44" s="14" t="s">
        <v>666</v>
      </c>
    </row>
    <row r="45" customFormat="false" ht="46.25" hidden="false" customHeight="false" outlineLevel="0" collapsed="false">
      <c r="A45" s="15" t="s">
        <v>667</v>
      </c>
    </row>
    <row r="46" customFormat="false" ht="15" hidden="false" customHeight="false" outlineLevel="0" collapsed="false">
      <c r="A46" s="14" t="s">
        <v>668</v>
      </c>
    </row>
    <row r="47" customFormat="false" ht="15" hidden="false" customHeight="false" outlineLevel="0" collapsed="false">
      <c r="A47" s="15" t="s">
        <v>669</v>
      </c>
    </row>
    <row r="48" customFormat="false" ht="23.85" hidden="false" customHeight="false" outlineLevel="0" collapsed="false">
      <c r="A48" s="15" t="s">
        <v>670</v>
      </c>
    </row>
    <row r="49" customFormat="false" ht="15" hidden="false" customHeight="false" outlineLevel="0" collapsed="false">
      <c r="A49" s="12" t="s">
        <v>671</v>
      </c>
    </row>
    <row r="50" customFormat="false" ht="15" hidden="false" customHeight="false" outlineLevel="0" collapsed="false">
      <c r="A50" s="13" t="s">
        <v>672</v>
      </c>
    </row>
    <row r="51" customFormat="false" ht="23.85" hidden="false" customHeight="false" outlineLevel="0" collapsed="false">
      <c r="A51" s="15" t="s">
        <v>673</v>
      </c>
    </row>
    <row r="52" customFormat="false" ht="23.85" hidden="false" customHeight="false" outlineLevel="0" collapsed="false">
      <c r="A52" s="15" t="s">
        <v>674</v>
      </c>
    </row>
    <row r="53" customFormat="false" ht="15" hidden="false" customHeight="false" outlineLevel="0" collapsed="false">
      <c r="A53" s="15" t="s">
        <v>675</v>
      </c>
    </row>
    <row r="54" customFormat="false" ht="15" hidden="false" customHeight="false" outlineLevel="0" collapsed="false">
      <c r="A54" s="15" t="s">
        <v>676</v>
      </c>
    </row>
    <row r="55" customFormat="false" ht="15" hidden="false" customHeight="false" outlineLevel="0" collapsed="false">
      <c r="A55" s="15" t="s">
        <v>677</v>
      </c>
    </row>
    <row r="56" customFormat="false" ht="15" hidden="false" customHeight="false" outlineLevel="0" collapsed="false">
      <c r="A56" s="13" t="s">
        <v>678</v>
      </c>
    </row>
    <row r="57" customFormat="false" ht="23.85" hidden="false" customHeight="false" outlineLevel="0" collapsed="false">
      <c r="A57" s="15" t="s">
        <v>679</v>
      </c>
    </row>
    <row r="58" customFormat="false" ht="23.85" hidden="false" customHeight="false" outlineLevel="0" collapsed="false">
      <c r="A58" s="15" t="s">
        <v>680</v>
      </c>
    </row>
    <row r="59" customFormat="false" ht="15" hidden="false" customHeight="false" outlineLevel="0" collapsed="false">
      <c r="A59" s="15" t="s">
        <v>681</v>
      </c>
    </row>
    <row r="60" customFormat="false" ht="23.85" hidden="false" customHeight="false" outlineLevel="0" collapsed="false">
      <c r="A60" s="15" t="s">
        <v>682</v>
      </c>
    </row>
    <row r="61" customFormat="false" ht="15" hidden="false" customHeight="false" outlineLevel="0" collapsed="false">
      <c r="A61" s="15" t="s">
        <v>683</v>
      </c>
    </row>
    <row r="62" customFormat="false" ht="15" hidden="false" customHeight="false" outlineLevel="0" collapsed="false">
      <c r="A62" s="15" t="s">
        <v>684</v>
      </c>
    </row>
    <row r="63" customFormat="false" ht="23.85" hidden="false" customHeight="false" outlineLevel="0" collapsed="false">
      <c r="A63" s="15" t="s">
        <v>685</v>
      </c>
    </row>
    <row r="64" customFormat="false" ht="15" hidden="false" customHeight="false" outlineLevel="0" collapsed="false">
      <c r="A64" s="12" t="s">
        <v>686</v>
      </c>
    </row>
    <row r="65" customFormat="false" ht="23.85" hidden="false" customHeight="false" outlineLevel="0" collapsed="false">
      <c r="A65" s="15" t="s">
        <v>687</v>
      </c>
    </row>
    <row r="66" customFormat="false" ht="15" hidden="false" customHeight="false" outlineLevel="0" collapsed="false">
      <c r="A66" s="15" t="s">
        <v>688</v>
      </c>
    </row>
    <row r="67" customFormat="false" ht="23.85" hidden="false" customHeight="false" outlineLevel="0" collapsed="false">
      <c r="A67" s="15" t="s">
        <v>689</v>
      </c>
    </row>
  </sheetData>
  <hyperlinks>
    <hyperlink ref="A4" r:id="rId1" display="- SEC 485BPOS, Quaker Investment Trust (Oct 2024): https://www.sec.gov/Archives/edgar/data/870355/000139834424019555/fp0090732-1_485bposixbrl.htm"/>
    <hyperlink ref="A5" r:id="rId2" display="- CCM fund page (could not be reached during research; verify directly): https://www.ccmfixedincome.com/strategies/ccm-community-impact-bond-fund/affordable-housing-mbs-etf-owns/"/>
    <hyperlink ref="A6" r:id="rId3" display="- ETF Strategy, launch: https://www.etfstrategy.com/impact-shares-unveils-affordable-housing-mbs-etf-owns-nyse-arca-98547"/>
    <hyperlink ref="A7" r:id="rId4" display="- Environmental Finance Sustainable Investment Awards 2026: https://www.environmental-finance.com/content/awards/sustainable-investment-awards-2026/winners/fixed-income-fund-of-the-year-americas-ccm-community-impact-bond.html"/>
    <hyperlink ref="A8" r:id="rId5" display="- Green America profile of CCM: https://greenamerica.org/node/1672"/>
    <hyperlink ref="A9" r:id="rId6" display="- Holdings snapshot (MarketXLS): https://marketxls.com/etfs/owns/holdings"/>
    <hyperlink ref="A11" r:id="rId7" display="- Business Wire, ETF launch (Apr 7, 2025): https://www.businesswire.com/news/home/20250407095788/en/"/>
    <hyperlink ref="A12" r:id="rId8" display="- Praxis registration announcement: https://praxismutualfunds.com/news-and-stories/corporate/2024/praxis-files-registration-statement-for-prxg-and-prxv"/>
    <hyperlink ref="A13" r:id="rId9" display="- Everence, fraternal benefit society structure: https://www.everence.com/about-everence/what-is-a-fraternal-benefit-society"/>
    <hyperlink ref="A14" r:id="rId10" display="- Everence Annual Report 2024: https://www.everence.com/about-everence/annual-report-2024"/>
    <hyperlink ref="A17" r:id="rId11" display="- SEC N-CSRS, Manager Directed Portfolios (Dec 2024): https://www.sec.gov/Archives/edgar/data/1359057/000113322825002360/Financial_Report.xlsx"/>
    <hyperlink ref="A18" r:id="rId12" display="- UN PRI case study by Vert: https://public.unpri.org/a-strategy-for-investing-in-sustainable-reits-/4388.article"/>
    <hyperlink ref="A19" r:id="rId13" display="- B Lab directory: https://www.bcorporation.net/en-us/find-a-b-corp/company/vert-asset-management"/>
    <hyperlink ref="A20" r:id="rId14" display="- IREI launch article: https://irei.com/news/vert-asset-management-launches-sustainable-real-estate-mutual-fund-u-s/"/>
    <hyperlink ref="A22" r:id="rId15" display="- Summary prospectus: https://etfarchitect.com/wp-content/uploads/compliance/etf/summary_prospectus/CHGX_Summary_Prospectus.pdf"/>
    <hyperlink ref="A23" r:id="rId16" display="- SEC N-14 (reorganization into EA Series Trust): https://www.sec.gov/Archives/edgar/data/1592900/000159290025000039/stancen-14a.htm"/>
    <hyperlink ref="A24" r:id="rId17" display="- Nasdaq Trader notice DTN2025-11: https://www.nasdaqtrader.com/TraderNews.aspx?id=DTN2025-11"/>
    <hyperlink ref="A25" r:id="rId18" display="- Hennessy / Stance 2022 transaction (SEC): https://www.sec.gov/Archives/edgar/data/1145255/000119312522234097/d387649dex991.htm"/>
    <hyperlink ref="A27" r:id="rId19" display="- Amplify ETHO fund page: https://amplifyetfs.com/etho/"/>
    <hyperlink ref="A28" r:id="rId20" display="- Amplify ETF Trust SEC filings: https://www.sec.gov/Archives/edgar/data/1633061/000121390023080956/ea162406_497.htm"/>
    <hyperlink ref="A30" r:id="rId21" display="- OneAscent fund page: https://investments.oneascent.com/oacp"/>
    <hyperlink ref="A31" r:id="rId22" display="- About OneAscent: https://investments.oneascent.com/about"/>
    <hyperlink ref="A32" r:id="rId23" display="- Holdings snapshot: https://marketxls.com/etfs/oacp/holdings"/>
    <hyperlink ref="A34" r:id="rId24" display="- Morgan Stanley IM fund profile: https://morganstanley.com/im/publication/etf/fundprofile_etf_calvertultrashortinvestmentgrade_us.pdf"/>
    <hyperlink ref="A36" r:id="rId25" display="- iShares sustainable bond brief (EAGG, BGRN fees): https://ishares.com/us/literature/product-brief/ishares-sustainable-bond-etf-brief.pdf"/>
    <hyperlink ref="A37" r:id="rId26" display="- iShares LDEM fact sheet: https://www.ishares.com/us/literature/fact-sheet/ldem-ishares-esg-msci-em-leaders-etf-fund-fact-sheet-en-us.pdf"/>
    <hyperlink ref="A38" r:id="rId27" display="- etf.com, differences among iShares ESG ETFs (ESG Advanced fees/exclusions): https://www.etf.com/node/71490.md"/>
    <hyperlink ref="A39" r:id="rId28" display="- FA Magazine, iShares ESG Advanced launch (USXF/DMXF exclusions): https://fa-mag.com/news/ishares-debuts-half-dozen-esg-etfs-56395.html"/>
    <hyperlink ref="A40" r:id="rId29" display="- iShares 2026 liquidation supplement (none of the listed funds affected): https://www.sec.gov/Archives/edgar/data/0001100663/000119312526354177/d153282d497.htm"/>
    <hyperlink ref="A41" r:id="rId30" display="- Franklin Templeton 2026 Putnam ETF liquidation (FLMB not included): https://www.franklintempleton.com/press-releases/news-room/2026/franklin-templeton-announces-plan-to-liquidate-putnam-etfs"/>
    <hyperlink ref="A42" r:id="rId31" display="- Invesco Dec 2025 liquidation supplement (none of the listed funds affected): https://www.sec.gov/Archives/edgar/data/1378872/000119312525326792/d48091d497.htm"/>
    <hyperlink ref="A43" r:id="rId32" display="- Invesco KLMT N-PORT, July 2026: https://www.sec.gov/Archives/edgar/data/0001378872/000137887226001618/edgar.htm"/>
    <hyperlink ref="A44" r:id="rId33" display="- Nuveen 2026 ESG ETF fee cuts: https://www.thewealthadvisor.com/article/nuveen-cuts-fees-43-billion-etfs-launches-two-new-funds"/>
    <hyperlink ref="A46" r:id="rId34" display="- Vanguard VSGX profile: https://investor.vanguard.com/investment-products/mutual-funds/profile/VSGX"/>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2026-10-15T19:10:30Z</dcterms:created>
  <dc:creator>openpyxl</dc:creator>
  <dc:description/>
  <dc:language>en-US</dc:language>
  <cp:lastModifiedBy/>
  <dcterms:modified xsi:type="dcterms:W3CDTF">2026-10-15T19:10:30Z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